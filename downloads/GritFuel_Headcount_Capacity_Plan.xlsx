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Assumptions" sheetId="2" state="visible" r:id="rId4"/>
    <sheet name="Capacity Model" sheetId="3" state="visible" r:id="rId5"/>
    <sheet name="Headcount Plan" sheetId="4" state="visible" r:id="rId6"/>
    <sheet name="Revenue &amp; Cost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<sst xmlns="http://schemas.openxmlformats.org/spreadsheetml/2006/main" count="168" uniqueCount="144">
  <si>
    <t xml:space="preserve">GritFuel</t>
  </si>
  <si>
    <t xml:space="preserve">Headcount &amp; Capacity Plan</t>
  </si>
  <si>
    <t xml:space="preserve">Y1 – Y3  ·  Quarterly  ·  April 2026  ·  Internal / Investor use</t>
  </si>
  <si>
    <t xml:space="preserve">Bottom-up model  ·  Capacity-driven  ·  Brand strategist = binding constraint</t>
  </si>
  <si>
    <t xml:space="preserve">Assumptions</t>
  </si>
  <si>
    <t xml:space="preserve">All hardcoded inputs — edit here, model updates throughout</t>
  </si>
  <si>
    <t xml:space="preserve">Capacity Model</t>
  </si>
  <si>
    <t xml:space="preserve">Hours per client per tier · clients per FTE · bottleneck analysis</t>
  </si>
  <si>
    <t xml:space="preserve">Headcount Plan</t>
  </si>
  <si>
    <t xml:space="preserve">Quarterly FTE by role · Y1–Y3 · hire triggers</t>
  </si>
  <si>
    <t xml:space="preserve">Revenue &amp; Cost</t>
  </si>
  <si>
    <t xml:space="preserve">Client ramp · blended ACV · revenue vs. cost · gross margin</t>
  </si>
  <si>
    <t xml:space="preserve">Colour conventions:   Blue = hardcoded input   ·   Black = formula   ·   Green = cross-sheet link   ·   Yellow bg = key assumption</t>
  </si>
  <si>
    <t xml:space="preserve">GritFuel — Assumptions</t>
  </si>
  <si>
    <t xml:space="preserve">PRICING — Monthly subscription (EUR)</t>
  </si>
  <si>
    <t xml:space="preserve">Core tier ACV / month</t>
  </si>
  <si>
    <t xml:space="preserve">EUR · no public pricing in beta</t>
  </si>
  <si>
    <t xml:space="preserve">Growth tier ACV / month</t>
  </si>
  <si>
    <t xml:space="preserve">EUR</t>
  </si>
  <si>
    <t xml:space="preserve">Performance tier ACV / month</t>
  </si>
  <si>
    <t xml:space="preserve">Tier mix — Core</t>
  </si>
  <si>
    <t xml:space="preserve">% of total clients</t>
  </si>
  <si>
    <t xml:space="preserve">Tier mix — Growth</t>
  </si>
  <si>
    <t xml:space="preserve">Tier mix — Performance</t>
  </si>
  <si>
    <t xml:space="preserve">CAPACITY — Hours per month per FTE</t>
  </si>
  <si>
    <t xml:space="preserve">Total working hours / month</t>
  </si>
  <si>
    <t xml:space="preserve">Standard FTE</t>
  </si>
  <si>
    <t xml:space="preserve">Overhead &amp; non-billable (%)</t>
  </si>
  <si>
    <t xml:space="preserve">Admin, BD, internal</t>
  </si>
  <si>
    <t xml:space="preserve">Productive client hours / FTE</t>
  </si>
  <si>
    <t xml:space="preserve">Calculated</t>
  </si>
  <si>
    <t xml:space="preserve">CAPACITY — Strategist hours per client per month</t>
  </si>
  <si>
    <t xml:space="preserve">Core — brand strategist hrs</t>
  </si>
  <si>
    <t xml:space="preserve">Incl. prep, session, playbook, oversight</t>
  </si>
  <si>
    <t xml:space="preserve">Growth — brand strategist hrs</t>
  </si>
  <si>
    <t xml:space="preserve">Performance — brand strategist hrs</t>
  </si>
  <si>
    <t xml:space="preserve">Core — PM strategist hrs</t>
  </si>
  <si>
    <t xml:space="preserve">Paid media oversight</t>
  </si>
  <si>
    <t xml:space="preserve">Growth — PM strategist hrs</t>
  </si>
  <si>
    <t xml:space="preserve">Performance — PM strategist hrs</t>
  </si>
  <si>
    <t xml:space="preserve">HEADCOUNT COSTS — Monthly all-in (EUR, incl. employer costs)</t>
  </si>
  <si>
    <t xml:space="preserve">Partner / co-founder draw — Y1</t>
  </si>
  <si>
    <t xml:space="preserve">Sweat equity phase</t>
  </si>
  <si>
    <t xml:space="preserve">Partner / co-founder draw — Y2</t>
  </si>
  <si>
    <t xml:space="preserve">Modest draw from Month 13</t>
  </si>
  <si>
    <t xml:space="preserve">Partner / co-founder draw — Y3</t>
  </si>
  <si>
    <t xml:space="preserve">Brand Strategist — NL / core</t>
  </si>
  <si>
    <t xml:space="preserve">All-in monthly cost</t>
  </si>
  <si>
    <t xml:space="preserve">Brand Strategist — SA contractor</t>
  </si>
  <si>
    <t xml:space="preserve">Favourable FX vs. EUR</t>
  </si>
  <si>
    <t xml:space="preserve">PM Strategist — primary</t>
  </si>
  <si>
    <t xml:space="preserve">NL-based all-in</t>
  </si>
  <si>
    <t xml:space="preserve">PM Strategist — additional</t>
  </si>
  <si>
    <t xml:space="preserve">SA/remote</t>
  </si>
  <si>
    <t xml:space="preserve">Client Success Manager</t>
  </si>
  <si>
    <t xml:space="preserve">NL or remote</t>
  </si>
  <si>
    <t xml:space="preserve">Tech Lead</t>
  </si>
  <si>
    <t xml:space="preserve">Remote/Morocco adjacent</t>
  </si>
  <si>
    <t xml:space="preserve">SSA Market Lead</t>
  </si>
  <si>
    <t xml:space="preserve">Lagos or Nairobi</t>
  </si>
  <si>
    <t xml:space="preserve">CTO / Head of Product</t>
  </si>
  <si>
    <t xml:space="preserve">NL-based or remote senior</t>
  </si>
  <si>
    <t xml:space="preserve">Head of Operations</t>
  </si>
  <si>
    <t xml:space="preserve">AI Expert (part-time advisory)</t>
  </si>
  <si>
    <t xml:space="preserve">Per expert, 2 in circle</t>
  </si>
  <si>
    <t xml:space="preserve">Capacity Model — Hours &amp; Client Throughput</t>
  </si>
  <si>
    <t xml:space="preserve">Hours per client / month (by tier)</t>
  </si>
  <si>
    <t xml:space="preserve">Core</t>
  </si>
  <si>
    <t xml:space="preserve">Growth</t>
  </si>
  <si>
    <t xml:space="preserve">Performance</t>
  </si>
  <si>
    <t xml:space="preserve">Weighted avg</t>
  </si>
  <si>
    <t xml:space="preserve">Brand Strategist</t>
  </si>
  <si>
    <t xml:space="preserve">PM Strategist</t>
  </si>
  <si>
    <t xml:space="preserve">Productive hours / FTE / month</t>
  </si>
  <si>
    <t xml:space="preserve">Max clients per FTE (productive hrs ÷ weighted avg hrs)</t>
  </si>
  <si>
    <t xml:space="preserve">Brand Strat</t>
  </si>
  <si>
    <t xml:space="preserve">PM Strat</t>
  </si>
  <si>
    <t xml:space="preserve">Theoretical maximum</t>
  </si>
  <si>
    <t xml:space="preserve">Planning target (80% of max — realistic with ramp-up)</t>
  </si>
  <si>
    <t xml:space="preserve">⚠  Brand Strategist = binding constraint. PM Strategist capacity is ~2-3× higher — PM headcount follows brand strategist growth, not the other way around.</t>
  </si>
  <si>
    <t xml:space="preserve">Headcount Plan — Quarterly FTE / Contractor Count  (Y1–Y3)</t>
  </si>
  <si>
    <t xml:space="preserve">Role</t>
  </si>
  <si>
    <t xml:space="preserve">Q1 Y1</t>
  </si>
  <si>
    <t xml:space="preserve">Q2 Y1</t>
  </si>
  <si>
    <t xml:space="preserve">Q3 Y1</t>
  </si>
  <si>
    <t xml:space="preserve">Q4 Y1</t>
  </si>
  <si>
    <t xml:space="preserve">Q1 Y2</t>
  </si>
  <si>
    <t xml:space="preserve">Q2 Y2</t>
  </si>
  <si>
    <t xml:space="preserve">Q3 Y2</t>
  </si>
  <si>
    <t xml:space="preserve">Q4 Y2</t>
  </si>
  <si>
    <t xml:space="preserve">Q1 Y3</t>
  </si>
  <si>
    <t xml:space="preserve">Q2 Y3</t>
  </si>
  <si>
    <t xml:space="preserve">Q3 Y3</t>
  </si>
  <si>
    <t xml:space="preserve">Q4 Y3</t>
  </si>
  <si>
    <t xml:space="preserve">FOUNDERS / CORE TEAM</t>
  </si>
  <si>
    <t xml:space="preserve">Brand Strategist (co-founder ×2)</t>
  </si>
  <si>
    <t xml:space="preserve">PM Strategist (co-founder ×1)</t>
  </si>
  <si>
    <t xml:space="preserve">Activation Expert (co-founder ×1)</t>
  </si>
  <si>
    <t xml:space="preserve">Brand Strategist — core (non-founder)</t>
  </si>
  <si>
    <t xml:space="preserve">AI Expert (part-time advisory ×2)</t>
  </si>
  <si>
    <t xml:space="preserve">NEW HIRES &amp; FORMALISED POOL (cumulative additional FTEs)</t>
  </si>
  <si>
    <t xml:space="preserve">Client Success / Ops Manager</t>
  </si>
  <si>
    <t xml:space="preserve">Brand Strategist — SA pool (formalised)</t>
  </si>
  <si>
    <t xml:space="preserve">Tech Lead (Brandformance OS build)</t>
  </si>
  <si>
    <t xml:space="preserve">SSA Market Lead (Lagos or Nairobi)</t>
  </si>
  <si>
    <t xml:space="preserve">Business Dev / Sales</t>
  </si>
  <si>
    <t xml:space="preserve">TOTALS</t>
  </si>
  <si>
    <t xml:space="preserve">Total Brand Strategists</t>
  </si>
  <si>
    <t xml:space="preserve">Total PM Strategists</t>
  </si>
  <si>
    <t xml:space="preserve">Total FTE (all roles)</t>
  </si>
  <si>
    <t xml:space="preserve">Key hire triggers:</t>
  </si>
  <si>
    <t xml:space="preserve">Q4 Y1  —  Tech Lead + Client Success Mgr</t>
  </si>
  <si>
    <t xml:space="preserve">Platform build starts; 9 clients — admin overhead a constraint</t>
  </si>
  <si>
    <t xml:space="preserve">Q1 Y2  —  SA Brand Strategist (1st)</t>
  </si>
  <si>
    <t xml:space="preserve">Approaching 12 clients; 3 strats at capacity limit — SA pool begins</t>
  </si>
  <si>
    <t xml:space="preserve">Q3 Y2  —  SA Brand Strat (2nd) + SSA Lead</t>
  </si>
  <si>
    <t xml:space="preserve">18 clients; SSA presence now justified — Lagos or Nairobi base</t>
  </si>
  <si>
    <t xml:space="preserve">Q4 Y2  —  PM additional + Biz Dev</t>
  </si>
  <si>
    <t xml:space="preserve">21 clients; paid media volume &amp; inbound now require dedicated sales</t>
  </si>
  <si>
    <t xml:space="preserve">Q1 Y3  —  SA Brand Strat (3rd) + CTO</t>
  </si>
  <si>
    <t xml:space="preserve">26 clients; Brandformance OS automation phase requires senior tech</t>
  </si>
  <si>
    <t xml:space="preserve">Q2 Y3  —  SA Brand Strat (4th) + Head of Ops</t>
  </si>
  <si>
    <t xml:space="preserve">32 clients; operational complexity requires dedicated Ops lead</t>
  </si>
  <si>
    <t xml:space="preserve">Revenue &amp; Cost Projection — Quarterly (Y1–Y3)</t>
  </si>
  <si>
    <t xml:space="preserve">Metric (EUR)</t>
  </si>
  <si>
    <t xml:space="preserve">CLIENTS</t>
  </si>
  <si>
    <t xml:space="preserve">Total active clients (end of quarter)</t>
  </si>
  <si>
    <t xml:space="preserve">  — EU clients</t>
  </si>
  <si>
    <t xml:space="preserve">  — SSA &amp; EU→Africa clients</t>
  </si>
  <si>
    <t xml:space="preserve">REVENUE</t>
  </si>
  <si>
    <t xml:space="preserve">Blended ACV / month (EUR)</t>
  </si>
  <si>
    <t xml:space="preserve">MRR at quarter-end (EUR)</t>
  </si>
  <si>
    <t xml:space="preserve">Quarterly Revenue (MRR × 3)</t>
  </si>
  <si>
    <t xml:space="preserve">ARR (implied, MRR × 12)</t>
  </si>
  <si>
    <t xml:space="preserve">HEADCOUNT COSTS (monthly, EUR)</t>
  </si>
  <si>
    <t xml:space="preserve">Partner draws (3 partners)</t>
  </si>
  <si>
    <t xml:space="preserve">Brand Strategists — total monthly cost</t>
  </si>
  <si>
    <t xml:space="preserve">PM Strategists — total monthly cost</t>
  </si>
  <si>
    <t xml:space="preserve">AI Experts (2 × part-time)</t>
  </si>
  <si>
    <t xml:space="preserve">Total monthly headcount cost</t>
  </si>
  <si>
    <t xml:space="preserve">MARGIN</t>
  </si>
  <si>
    <t xml:space="preserve">Monthly gross margin (MRR - headcount cost)</t>
  </si>
  <si>
    <t xml:space="preserve">Gross margin %</t>
  </si>
  <si>
    <t xml:space="preserve">Note: Costs shown are headcount only. Add ~15–20% for tools, software, office, and travel. Credit execution costs (partner delivery via .frank / Bluegyfu) are client-funded — not reflected here as they are offset by credit revenue.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</si>
</sst>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%;\(0.0%\);\-"/>
    <numFmt numFmtId="166" formatCode="0.0;\(0.0\);\-"/>
    <numFmt numFmtId="167" formatCode="0;\(0\);\-"/>
    <numFmt numFmtId="168" formatCode="\€#,##0;&quot;(€&quot;#,##0\);\-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8"/>
      <color rgb="FFC8E000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sz val="9"/>
      <color rgb="FF666666"/>
      <name val="Arial"/>
      <family val="0"/>
      <charset val="1"/>
    </font>
    <font>
      <i val="true"/>
      <sz val="8"/>
      <color rgb="FF666666"/>
      <name val="Arial"/>
      <family val="0"/>
      <charset val="1"/>
    </font>
    <font>
      <b val="true"/>
      <sz val="12"/>
      <color rgb="FFC8E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0000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1"/>
      <color rgb="FFC8E000"/>
      <name val="Arial"/>
      <family val="0"/>
      <charset val="1"/>
    </font>
    <font>
      <b val="true"/>
      <sz val="9"/>
      <color rgb="FF1A1A1A"/>
      <name val="Arial"/>
      <family val="0"/>
      <charset val="1"/>
    </font>
    <font>
      <b val="true"/>
      <sz val="9"/>
      <color rgb="FF008000"/>
      <name val="Arial"/>
      <family val="0"/>
      <charset val="1"/>
    </font>
    <font>
      <sz val="9"/>
      <name val="Arial"/>
      <family val="0"/>
      <charset val="1"/>
    </font>
    <font>
      <i val="true"/>
      <sz val="9"/>
      <color rgb="FF666666"/>
      <name val="Arial"/>
      <family val="0"/>
      <charset val="1"/>
    </font>
    <font>
      <i val="true"/>
      <sz val="9"/>
      <color rgb="FFFF6B00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8"/>
      <color rgb="FF1A1A1A"/>
      <name val="Arial"/>
      <family val="0"/>
      <charset val="1"/>
    </font>
    <font>
      <sz val="9"/>
      <color rgb="FF0000F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A1A1A"/>
        <bgColor rgb="FF333300"/>
      </patternFill>
    </fill>
    <fill>
      <patternFill patternType="solid">
        <fgColor rgb="FFC8E000"/>
        <bgColor rgb="FFFFCC00"/>
      </patternFill>
    </fill>
    <fill>
      <patternFill patternType="solid">
        <fgColor rgb="FFFFFF00"/>
        <bgColor rgb="FFFFFF00"/>
      </patternFill>
    </fill>
    <fill>
      <patternFill patternType="solid">
        <fgColor rgb="FFF0F5D0"/>
        <bgColor rgb="FFF5F5F2"/>
      </patternFill>
    </fill>
    <fill>
      <patternFill patternType="solid">
        <fgColor rgb="FFFFF5EE"/>
        <bgColor rgb="FFF5F5F2"/>
      </patternFill>
    </fill>
    <fill>
      <patternFill patternType="solid">
        <fgColor rgb="FFE4E4E0"/>
        <bgColor rgb="FFF0F5D0"/>
      </patternFill>
    </fill>
    <fill>
      <patternFill patternType="solid">
        <fgColor rgb="FFF5F5F2"/>
        <bgColor rgb="FFFFF5EE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4E4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4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4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1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1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0F5D0"/>
      <rgbColor rgb="FFF5F5F2"/>
      <rgbColor rgb="FF660066"/>
      <rgbColor rgb="FFFF8080"/>
      <rgbColor rgb="FF0066CC"/>
      <rgbColor rgb="FFE4E4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5EE"/>
      <rgbColor rgb="FF99CCFF"/>
      <rgbColor rgb="FFFF99CC"/>
      <rgbColor rgb="FFCC99FF"/>
      <rgbColor rgb="FFFFCC99"/>
      <rgbColor rgb="FF3366FF"/>
      <rgbColor rgb="FF33CCCC"/>
      <rgbColor rgb="FFC8E000"/>
      <rgbColor rgb="FFFFCC00"/>
      <rgbColor rgb="FFFF9900"/>
      <rgbColor rgb="FFFF6B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3" min="2" style="0" width="22"/>
    <col collapsed="false" customWidth="true" hidden="false" outlineLevel="0" max="4" min="4" style="0" width="40"/>
    <col collapsed="false" customWidth="true" hidden="false" outlineLevel="0" max="7" min="5" style="0" width="5"/>
    <col collapsed="false" customWidth="true" hidden="false" outlineLevel="0" max="8" min="8" style="0" width="2"/>
  </cols>
  <sheetData>
    <row r="1" customFormat="false" ht="18" hidden="false" customHeight="true" outlineLevel="0" collapsed="false">
      <c r="A1" s="1"/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18" hidden="false" customHeight="tru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18" hidden="false" customHeight="true" outlineLevel="0" collapsed="false">
      <c r="A4" s="1"/>
      <c r="B4" s="1"/>
      <c r="C4" s="1"/>
      <c r="D4" s="1"/>
      <c r="E4" s="1"/>
      <c r="F4" s="1"/>
      <c r="G4" s="1"/>
      <c r="H4" s="1"/>
    </row>
    <row r="5" customFormat="false" ht="36" hidden="false" customHeight="true" outlineLevel="0" collapsed="false">
      <c r="A5" s="1"/>
      <c r="B5" s="2" t="s">
        <v>0</v>
      </c>
      <c r="C5" s="2"/>
      <c r="D5" s="2"/>
      <c r="E5" s="2"/>
      <c r="F5" s="2"/>
      <c r="G5" s="2"/>
      <c r="H5" s="1"/>
    </row>
    <row r="6" customFormat="false" ht="18" hidden="false" customHeight="true" outlineLevel="0" collapsed="false">
      <c r="A6" s="1"/>
      <c r="B6" s="1"/>
      <c r="C6" s="1"/>
      <c r="D6" s="1"/>
      <c r="E6" s="1"/>
      <c r="F6" s="1"/>
      <c r="G6" s="1"/>
      <c r="H6" s="1"/>
    </row>
    <row r="7" customFormat="false" ht="30" hidden="false" customHeight="true" outlineLevel="0" collapsed="false">
      <c r="A7" s="1"/>
      <c r="B7" s="3" t="s">
        <v>1</v>
      </c>
      <c r="C7" s="3"/>
      <c r="D7" s="3"/>
      <c r="E7" s="3"/>
      <c r="F7" s="3"/>
      <c r="G7" s="3"/>
      <c r="H7" s="1"/>
    </row>
    <row r="8" customFormat="false" ht="18" hidden="false" customHeight="true" outlineLevel="0" collapsed="false">
      <c r="A8" s="1"/>
      <c r="B8" s="1"/>
      <c r="C8" s="1"/>
      <c r="D8" s="1"/>
      <c r="E8" s="1"/>
      <c r="F8" s="1"/>
      <c r="G8" s="1"/>
      <c r="H8" s="1"/>
    </row>
    <row r="9" customFormat="false" ht="18" hidden="false" customHeight="true" outlineLevel="0" collapsed="false">
      <c r="A9" s="1"/>
      <c r="B9" s="4" t="s">
        <v>2</v>
      </c>
      <c r="C9" s="4"/>
      <c r="D9" s="4"/>
      <c r="E9" s="4"/>
      <c r="F9" s="4"/>
      <c r="G9" s="4"/>
      <c r="H9" s="1"/>
    </row>
    <row r="10" customFormat="false" ht="18" hidden="false" customHeight="true" outlineLevel="0" collapsed="false">
      <c r="A10" s="1"/>
      <c r="B10" s="1"/>
      <c r="C10" s="1"/>
      <c r="D10" s="1"/>
      <c r="E10" s="1"/>
      <c r="F10" s="1"/>
      <c r="G10" s="1"/>
      <c r="H10" s="1"/>
    </row>
    <row r="11" customFormat="false" ht="18" hidden="false" customHeight="true" outlineLevel="0" collapsed="false">
      <c r="A11" s="1"/>
      <c r="B11" s="1"/>
      <c r="C11" s="1"/>
      <c r="D11" s="1"/>
      <c r="E11" s="1"/>
      <c r="F11" s="1"/>
      <c r="G11" s="1"/>
      <c r="H11" s="1"/>
    </row>
    <row r="12" customFormat="false" ht="18" hidden="false" customHeight="true" outlineLevel="0" collapsed="false">
      <c r="A12" s="1"/>
      <c r="B12" s="1"/>
      <c r="C12" s="1"/>
      <c r="D12" s="1"/>
      <c r="E12" s="1"/>
      <c r="F12" s="1"/>
      <c r="G12" s="1"/>
      <c r="H12" s="1"/>
    </row>
    <row r="13" customFormat="false" ht="18" hidden="false" customHeight="true" outlineLevel="0" collapsed="false">
      <c r="A13" s="5"/>
      <c r="B13" s="5"/>
      <c r="C13" s="5"/>
      <c r="D13" s="5"/>
      <c r="E13" s="5"/>
      <c r="F13" s="5"/>
      <c r="G13" s="5"/>
      <c r="H13" s="5"/>
    </row>
    <row r="14" customFormat="false" ht="18" hidden="false" customHeight="true" outlineLevel="0" collapsed="false">
      <c r="A14" s="5"/>
      <c r="B14" s="6" t="s">
        <v>3</v>
      </c>
      <c r="C14" s="6"/>
      <c r="D14" s="6"/>
      <c r="E14" s="6"/>
      <c r="F14" s="6"/>
      <c r="G14" s="6"/>
      <c r="H14" s="5"/>
    </row>
    <row r="15" customFormat="false" ht="18" hidden="false" customHeight="true" outlineLevel="0" collapsed="false"/>
    <row r="16" customFormat="false" ht="18" hidden="false" customHeight="true" outlineLevel="0" collapsed="false">
      <c r="B16" s="7" t="s">
        <v>4</v>
      </c>
      <c r="C16" s="7"/>
      <c r="D16" s="8" t="s">
        <v>5</v>
      </c>
      <c r="E16" s="8"/>
      <c r="F16" s="8"/>
      <c r="G16" s="8"/>
    </row>
    <row r="17" customFormat="false" ht="18" hidden="false" customHeight="true" outlineLevel="0" collapsed="false">
      <c r="B17" s="7" t="s">
        <v>6</v>
      </c>
      <c r="C17" s="7"/>
      <c r="D17" s="8" t="s">
        <v>7</v>
      </c>
      <c r="E17" s="8"/>
      <c r="F17" s="8"/>
      <c r="G17" s="8"/>
    </row>
    <row r="18" customFormat="false" ht="18" hidden="false" customHeight="true" outlineLevel="0" collapsed="false">
      <c r="B18" s="7" t="s">
        <v>8</v>
      </c>
      <c r="C18" s="7"/>
      <c r="D18" s="8" t="s">
        <v>9</v>
      </c>
      <c r="E18" s="8"/>
      <c r="F18" s="8"/>
      <c r="G18" s="8"/>
    </row>
    <row r="19" customFormat="false" ht="18" hidden="false" customHeight="true" outlineLevel="0" collapsed="false">
      <c r="B19" s="7" t="s">
        <v>10</v>
      </c>
      <c r="C19" s="7"/>
      <c r="D19" s="8" t="s">
        <v>11</v>
      </c>
      <c r="E19" s="8"/>
      <c r="F19" s="8"/>
      <c r="G19" s="8"/>
    </row>
    <row r="20" customFormat="false" ht="18" hidden="false" customHeight="true" outlineLevel="0" collapsed="false"/>
    <row r="21" customFormat="false" ht="18" hidden="false" customHeight="true" outlineLevel="0" collapsed="false">
      <c r="B21" s="9" t="s">
        <v>12</v>
      </c>
      <c r="C21" s="9"/>
      <c r="D21" s="9"/>
      <c r="E21" s="9"/>
      <c r="F21" s="9"/>
      <c r="G21" s="9"/>
    </row>
    <row r="22" customFormat="false" ht="18" hidden="false" customHeight="true" outlineLevel="0" collapsed="false"/>
    <row r="23" customFormat="false" ht="18" hidden="false" customHeight="true" outlineLevel="0" collapsed="false"/>
    <row r="24" customFormat="false" ht="18" hidden="false" customHeight="true" outlineLevel="0" collapsed="false"/>
    <row r="25" customFormat="false" ht="18" hidden="false" customHeight="true" outlineLevel="0" collapsed="false"/>
    <row r="26" customFormat="false" ht="18" hidden="false" customHeight="true" outlineLevel="0" collapsed="false"/>
    <row r="27" customFormat="false" ht="18" hidden="false" customHeight="true" outlineLevel="0" collapsed="false"/>
    <row r="28" customFormat="false" ht="18" hidden="false" customHeight="true" outlineLevel="0" collapsed="false"/>
    <row r="29" customFormat="false" ht="18" hidden="false" customHeight="true" outlineLevel="0" collapsed="false"/>
  </sheetData>
  <mergeCells count="13">
    <mergeCell ref="B5:G5"/>
    <mergeCell ref="B7:G7"/>
    <mergeCell ref="B9:G9"/>
    <mergeCell ref="B14:G14"/>
    <mergeCell ref="B16:C16"/>
    <mergeCell ref="D16:G16"/>
    <mergeCell ref="B17:C17"/>
    <mergeCell ref="D17:G17"/>
    <mergeCell ref="B18:C18"/>
    <mergeCell ref="D18:G18"/>
    <mergeCell ref="B19:C19"/>
    <mergeCell ref="D19:G19"/>
    <mergeCell ref="B21:G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2"/>
    <col collapsed="false" customWidth="true" hidden="false" outlineLevel="0" max="3" min="3" style="0" width="18"/>
    <col collapsed="false" customWidth="true" hidden="false" outlineLevel="0" max="4" min="4" style="0" width="32"/>
    <col collapsed="false" customWidth="true" hidden="false" outlineLevel="0" max="5" min="5" style="0" width="2"/>
  </cols>
  <sheetData>
    <row r="2" customFormat="false" ht="27.75" hidden="false" customHeight="true" outlineLevel="0" collapsed="false">
      <c r="B2" s="10" t="s">
        <v>13</v>
      </c>
      <c r="C2" s="10"/>
      <c r="D2" s="10"/>
    </row>
    <row r="4" customFormat="false" ht="19.5" hidden="false" customHeight="true" outlineLevel="0" collapsed="false">
      <c r="B4" s="11" t="s">
        <v>14</v>
      </c>
      <c r="C4" s="11"/>
      <c r="D4" s="11"/>
    </row>
    <row r="5" customFormat="false" ht="18" hidden="false" customHeight="true" outlineLevel="0" collapsed="false">
      <c r="B5" s="12" t="s">
        <v>15</v>
      </c>
      <c r="C5" s="13" t="n">
        <v>3500</v>
      </c>
      <c r="D5" s="14" t="s">
        <v>16</v>
      </c>
    </row>
    <row r="6" customFormat="false" ht="18" hidden="false" customHeight="true" outlineLevel="0" collapsed="false">
      <c r="B6" s="12" t="s">
        <v>17</v>
      </c>
      <c r="C6" s="13" t="n">
        <v>5250</v>
      </c>
      <c r="D6" s="14" t="s">
        <v>18</v>
      </c>
    </row>
    <row r="7" customFormat="false" ht="18" hidden="false" customHeight="true" outlineLevel="0" collapsed="false">
      <c r="B7" s="12" t="s">
        <v>19</v>
      </c>
      <c r="C7" s="13" t="n">
        <v>8000</v>
      </c>
      <c r="D7" s="14" t="s">
        <v>18</v>
      </c>
    </row>
    <row r="8" customFormat="false" ht="18" hidden="false" customHeight="true" outlineLevel="0" collapsed="false">
      <c r="B8" s="12" t="s">
        <v>20</v>
      </c>
      <c r="C8" s="15" t="n">
        <v>0.5</v>
      </c>
      <c r="D8" s="14" t="s">
        <v>21</v>
      </c>
    </row>
    <row r="9" customFormat="false" ht="18" hidden="false" customHeight="true" outlineLevel="0" collapsed="false">
      <c r="B9" s="12" t="s">
        <v>22</v>
      </c>
      <c r="C9" s="16" t="n">
        <v>0.35</v>
      </c>
      <c r="D9" s="14" t="s">
        <v>21</v>
      </c>
    </row>
    <row r="10" customFormat="false" ht="18" hidden="false" customHeight="true" outlineLevel="0" collapsed="false">
      <c r="B10" s="12" t="s">
        <v>23</v>
      </c>
      <c r="C10" s="16" t="n">
        <v>0.15</v>
      </c>
      <c r="D10" s="14" t="s">
        <v>21</v>
      </c>
    </row>
    <row r="12" customFormat="false" ht="19.5" hidden="false" customHeight="true" outlineLevel="0" collapsed="false">
      <c r="B12" s="11" t="s">
        <v>24</v>
      </c>
      <c r="C12" s="11"/>
      <c r="D12" s="11"/>
    </row>
    <row r="13" customFormat="false" ht="18" hidden="false" customHeight="true" outlineLevel="0" collapsed="false">
      <c r="B13" s="12" t="s">
        <v>25</v>
      </c>
      <c r="C13" s="13" t="n">
        <v>160</v>
      </c>
      <c r="D13" s="14" t="s">
        <v>26</v>
      </c>
    </row>
    <row r="14" customFormat="false" ht="18" hidden="false" customHeight="true" outlineLevel="0" collapsed="false">
      <c r="B14" s="12" t="s">
        <v>27</v>
      </c>
      <c r="C14" s="15" t="n">
        <v>0.35</v>
      </c>
      <c r="D14" s="14" t="s">
        <v>28</v>
      </c>
    </row>
    <row r="15" customFormat="false" ht="18" hidden="false" customHeight="true" outlineLevel="0" collapsed="false">
      <c r="B15" s="12" t="s">
        <v>29</v>
      </c>
      <c r="C15" s="17" t="n">
        <f aca="false">C13*(1-C14)</f>
        <v>104</v>
      </c>
      <c r="D15" s="14" t="s">
        <v>30</v>
      </c>
    </row>
    <row r="17" customFormat="false" ht="19.5" hidden="false" customHeight="true" outlineLevel="0" collapsed="false">
      <c r="B17" s="11" t="s">
        <v>31</v>
      </c>
      <c r="C17" s="11"/>
      <c r="D17" s="11"/>
    </row>
    <row r="18" customFormat="false" ht="18" hidden="false" customHeight="true" outlineLevel="0" collapsed="false">
      <c r="B18" s="12" t="s">
        <v>32</v>
      </c>
      <c r="C18" s="13" t="n">
        <v>9</v>
      </c>
      <c r="D18" s="14" t="s">
        <v>33</v>
      </c>
    </row>
    <row r="19" customFormat="false" ht="18" hidden="false" customHeight="true" outlineLevel="0" collapsed="false">
      <c r="B19" s="12" t="s">
        <v>34</v>
      </c>
      <c r="C19" s="13" t="n">
        <v>15</v>
      </c>
      <c r="D19" s="18"/>
    </row>
    <row r="20" customFormat="false" ht="18" hidden="false" customHeight="true" outlineLevel="0" collapsed="false">
      <c r="B20" s="12" t="s">
        <v>35</v>
      </c>
      <c r="C20" s="13" t="n">
        <v>24</v>
      </c>
      <c r="D20" s="18"/>
    </row>
    <row r="21" customFormat="false" ht="18" hidden="false" customHeight="true" outlineLevel="0" collapsed="false">
      <c r="B21" s="12" t="s">
        <v>36</v>
      </c>
      <c r="C21" s="13" t="n">
        <v>2</v>
      </c>
      <c r="D21" s="14" t="s">
        <v>37</v>
      </c>
    </row>
    <row r="22" customFormat="false" ht="18" hidden="false" customHeight="true" outlineLevel="0" collapsed="false">
      <c r="B22" s="12" t="s">
        <v>38</v>
      </c>
      <c r="C22" s="13" t="n">
        <v>5</v>
      </c>
      <c r="D22" s="18"/>
    </row>
    <row r="23" customFormat="false" ht="18" hidden="false" customHeight="true" outlineLevel="0" collapsed="false">
      <c r="B23" s="12" t="s">
        <v>39</v>
      </c>
      <c r="C23" s="13" t="n">
        <v>9</v>
      </c>
      <c r="D23" s="18"/>
    </row>
    <row r="25" customFormat="false" ht="19.5" hidden="false" customHeight="true" outlineLevel="0" collapsed="false">
      <c r="B25" s="11" t="s">
        <v>40</v>
      </c>
      <c r="C25" s="11"/>
      <c r="D25" s="11"/>
    </row>
    <row r="26" customFormat="false" ht="18" hidden="false" customHeight="true" outlineLevel="0" collapsed="false">
      <c r="B26" s="12" t="s">
        <v>41</v>
      </c>
      <c r="C26" s="13" t="n">
        <v>0</v>
      </c>
      <c r="D26" s="14" t="s">
        <v>42</v>
      </c>
    </row>
    <row r="27" customFormat="false" ht="18" hidden="false" customHeight="true" outlineLevel="0" collapsed="false">
      <c r="B27" s="12" t="s">
        <v>43</v>
      </c>
      <c r="C27" s="13" t="n">
        <v>4000</v>
      </c>
      <c r="D27" s="14" t="s">
        <v>44</v>
      </c>
    </row>
    <row r="28" customFormat="false" ht="18" hidden="false" customHeight="true" outlineLevel="0" collapsed="false">
      <c r="B28" s="12" t="s">
        <v>45</v>
      </c>
      <c r="C28" s="13" t="n">
        <v>6000</v>
      </c>
      <c r="D28" s="18"/>
    </row>
    <row r="29" customFormat="false" ht="18" hidden="false" customHeight="true" outlineLevel="0" collapsed="false">
      <c r="B29" s="12" t="s">
        <v>46</v>
      </c>
      <c r="C29" s="13" t="n">
        <v>5500</v>
      </c>
      <c r="D29" s="14" t="s">
        <v>47</v>
      </c>
    </row>
    <row r="30" customFormat="false" ht="18" hidden="false" customHeight="true" outlineLevel="0" collapsed="false">
      <c r="B30" s="12" t="s">
        <v>48</v>
      </c>
      <c r="C30" s="13" t="n">
        <v>3000</v>
      </c>
      <c r="D30" s="14" t="s">
        <v>49</v>
      </c>
    </row>
    <row r="31" customFormat="false" ht="18" hidden="false" customHeight="true" outlineLevel="0" collapsed="false">
      <c r="B31" s="12" t="s">
        <v>50</v>
      </c>
      <c r="C31" s="13" t="n">
        <v>8000</v>
      </c>
      <c r="D31" s="14" t="s">
        <v>51</v>
      </c>
    </row>
    <row r="32" customFormat="false" ht="18" hidden="false" customHeight="true" outlineLevel="0" collapsed="false">
      <c r="B32" s="12" t="s">
        <v>52</v>
      </c>
      <c r="C32" s="13" t="n">
        <v>6000</v>
      </c>
      <c r="D32" s="14" t="s">
        <v>53</v>
      </c>
    </row>
    <row r="33" customFormat="false" ht="18" hidden="false" customHeight="true" outlineLevel="0" collapsed="false">
      <c r="B33" s="12" t="s">
        <v>54</v>
      </c>
      <c r="C33" s="13" t="n">
        <v>5500</v>
      </c>
      <c r="D33" s="14" t="s">
        <v>55</v>
      </c>
    </row>
    <row r="34" customFormat="false" ht="18" hidden="false" customHeight="true" outlineLevel="0" collapsed="false">
      <c r="B34" s="12" t="s">
        <v>56</v>
      </c>
      <c r="C34" s="13" t="n">
        <v>6000</v>
      </c>
      <c r="D34" s="14" t="s">
        <v>57</v>
      </c>
    </row>
    <row r="35" customFormat="false" ht="18" hidden="false" customHeight="true" outlineLevel="0" collapsed="false">
      <c r="B35" s="12" t="s">
        <v>58</v>
      </c>
      <c r="C35" s="13" t="n">
        <v>3500</v>
      </c>
      <c r="D35" s="14" t="s">
        <v>59</v>
      </c>
    </row>
    <row r="36" customFormat="false" ht="18" hidden="false" customHeight="true" outlineLevel="0" collapsed="false">
      <c r="B36" s="12" t="s">
        <v>60</v>
      </c>
      <c r="C36" s="13" t="n">
        <v>12000</v>
      </c>
      <c r="D36" s="14" t="s">
        <v>61</v>
      </c>
    </row>
    <row r="37" customFormat="false" ht="18" hidden="false" customHeight="true" outlineLevel="0" collapsed="false">
      <c r="B37" s="12" t="s">
        <v>62</v>
      </c>
      <c r="C37" s="13" t="n">
        <v>7000</v>
      </c>
      <c r="D37" s="18"/>
    </row>
    <row r="38" customFormat="false" ht="18" hidden="false" customHeight="true" outlineLevel="0" collapsed="false">
      <c r="B38" s="12" t="s">
        <v>63</v>
      </c>
      <c r="C38" s="13" t="n">
        <v>1500</v>
      </c>
      <c r="D38" s="14" t="s">
        <v>64</v>
      </c>
    </row>
  </sheetData>
  <mergeCells count="5">
    <mergeCell ref="B2:D2"/>
    <mergeCell ref="B4:D4"/>
    <mergeCell ref="B12:D12"/>
    <mergeCell ref="B17:D17"/>
    <mergeCell ref="B25:D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2"/>
    <col collapsed="false" customWidth="true" hidden="false" outlineLevel="0" max="6" min="3" style="0" width="14"/>
    <col collapsed="false" customWidth="true" hidden="false" outlineLevel="0" max="7" min="7" style="0" width="20"/>
    <col collapsed="false" customWidth="true" hidden="false" outlineLevel="0" max="8" min="8" style="0" width="2"/>
  </cols>
  <sheetData>
    <row r="2" customFormat="false" ht="25.5" hidden="false" customHeight="true" outlineLevel="0" collapsed="false">
      <c r="B2" s="19" t="s">
        <v>65</v>
      </c>
      <c r="C2" s="19"/>
      <c r="D2" s="19"/>
      <c r="E2" s="19"/>
      <c r="F2" s="19"/>
      <c r="G2" s="19"/>
    </row>
    <row r="4" customFormat="false" ht="19.5" hidden="false" customHeight="true" outlineLevel="0" collapsed="false">
      <c r="B4" s="20" t="s">
        <v>66</v>
      </c>
      <c r="C4" s="21" t="s">
        <v>67</v>
      </c>
      <c r="D4" s="21" t="s">
        <v>68</v>
      </c>
      <c r="E4" s="21" t="s">
        <v>69</v>
      </c>
      <c r="F4" s="22" t="s">
        <v>70</v>
      </c>
    </row>
    <row r="5" customFormat="false" ht="18" hidden="false" customHeight="true" outlineLevel="0" collapsed="false">
      <c r="B5" s="12" t="s">
        <v>71</v>
      </c>
      <c r="C5" s="23" t="n">
        <f aca="false">Assumptions!C18</f>
        <v>9</v>
      </c>
      <c r="D5" s="23" t="n">
        <f aca="false">Assumptions!C19</f>
        <v>15</v>
      </c>
      <c r="E5" s="23" t="n">
        <f aca="false">Assumptions!C20</f>
        <v>24</v>
      </c>
      <c r="F5" s="24" t="n">
        <f aca="false">C5*Assumptions!C8+D5*Assumptions!C9+E5*Assumptions!C10</f>
        <v>13.35</v>
      </c>
    </row>
    <row r="6" customFormat="false" ht="18" hidden="false" customHeight="true" outlineLevel="0" collapsed="false">
      <c r="B6" s="12" t="s">
        <v>72</v>
      </c>
      <c r="C6" s="23" t="n">
        <f aca="false">Assumptions!C21</f>
        <v>2</v>
      </c>
      <c r="D6" s="23" t="n">
        <f aca="false">Assumptions!C22</f>
        <v>5</v>
      </c>
      <c r="E6" s="23" t="n">
        <f aca="false">Assumptions!C23</f>
        <v>9</v>
      </c>
      <c r="F6" s="24" t="n">
        <f aca="false">C6*Assumptions!C8+D6*Assumptions!C9+E6*Assumptions!C10</f>
        <v>4.1</v>
      </c>
    </row>
    <row r="8" customFormat="false" ht="19.5" hidden="false" customHeight="true" outlineLevel="0" collapsed="false">
      <c r="B8" s="20" t="s">
        <v>73</v>
      </c>
      <c r="C8" s="25" t="n">
        <f aca="false">Assumptions!C15</f>
        <v>104</v>
      </c>
      <c r="D8" s="25"/>
      <c r="E8" s="25"/>
      <c r="F8" s="25"/>
    </row>
    <row r="10" customFormat="false" ht="19.5" hidden="false" customHeight="true" outlineLevel="0" collapsed="false">
      <c r="B10" s="20" t="s">
        <v>74</v>
      </c>
      <c r="C10" s="21" t="s">
        <v>75</v>
      </c>
      <c r="D10" s="21" t="s">
        <v>76</v>
      </c>
    </row>
    <row r="11" customFormat="false" ht="18" hidden="false" customHeight="true" outlineLevel="0" collapsed="false">
      <c r="B11" s="26" t="s">
        <v>77</v>
      </c>
      <c r="C11" s="27" t="n">
        <f aca="false">Assumptions!C15/F5</f>
        <v>7.79026217228465</v>
      </c>
      <c r="D11" s="27" t="n">
        <f aca="false">Assumptions!C15/F6</f>
        <v>25.3658536585366</v>
      </c>
    </row>
    <row r="12" customFormat="false" ht="18" hidden="false" customHeight="true" outlineLevel="0" collapsed="false">
      <c r="B12" s="28" t="s">
        <v>78</v>
      </c>
      <c r="C12" s="29" t="n">
        <f aca="false">INT(C11*0.8)</f>
        <v>6</v>
      </c>
      <c r="D12" s="29" t="n">
        <f aca="false">INT(D11*0.8)</f>
        <v>20</v>
      </c>
    </row>
    <row r="14" customFormat="false" ht="30" hidden="false" customHeight="true" outlineLevel="0" collapsed="false">
      <c r="B14" s="30" t="s">
        <v>79</v>
      </c>
      <c r="C14" s="30"/>
      <c r="D14" s="30"/>
      <c r="E14" s="30"/>
      <c r="F14" s="30"/>
      <c r="G14" s="30"/>
    </row>
  </sheetData>
  <mergeCells count="3">
    <mergeCell ref="B2:G2"/>
    <mergeCell ref="C8:F8"/>
    <mergeCell ref="B14:G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N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14" min="3" style="0" width="9"/>
    <col collapsed="false" customWidth="true" hidden="false" outlineLevel="0" max="15" min="15" style="0" width="2"/>
  </cols>
  <sheetData>
    <row r="2" customFormat="false" ht="25.5" hidden="false" customHeight="true" outlineLevel="0" collapsed="false">
      <c r="B2" s="19" t="s">
        <v>80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</row>
    <row r="4" customFormat="false" ht="19.5" hidden="false" customHeight="true" outlineLevel="0" collapsed="false">
      <c r="B4" s="20" t="s">
        <v>81</v>
      </c>
      <c r="C4" s="31" t="s">
        <v>82</v>
      </c>
      <c r="D4" s="31" t="s">
        <v>83</v>
      </c>
      <c r="E4" s="31" t="s">
        <v>84</v>
      </c>
      <c r="F4" s="31" t="s">
        <v>85</v>
      </c>
      <c r="G4" s="32" t="s">
        <v>86</v>
      </c>
      <c r="H4" s="32" t="s">
        <v>87</v>
      </c>
      <c r="I4" s="32" t="s">
        <v>88</v>
      </c>
      <c r="J4" s="32" t="s">
        <v>89</v>
      </c>
      <c r="K4" s="33" t="s">
        <v>90</v>
      </c>
      <c r="L4" s="33" t="s">
        <v>91</v>
      </c>
      <c r="M4" s="33" t="s">
        <v>92</v>
      </c>
      <c r="N4" s="33" t="s">
        <v>93</v>
      </c>
    </row>
    <row r="5" customFormat="false" ht="15.75" hidden="false" customHeight="true" outlineLevel="0" collapsed="false">
      <c r="B5" s="34" t="s">
        <v>94</v>
      </c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</row>
    <row r="6" customFormat="false" ht="18" hidden="false" customHeight="true" outlineLevel="0" collapsed="false">
      <c r="B6" s="12" t="s">
        <v>95</v>
      </c>
      <c r="C6" s="35" t="n">
        <v>2</v>
      </c>
      <c r="D6" s="35" t="n">
        <v>2</v>
      </c>
      <c r="E6" s="35" t="n">
        <v>2</v>
      </c>
      <c r="F6" s="35" t="n">
        <v>2</v>
      </c>
      <c r="G6" s="35" t="n">
        <v>2</v>
      </c>
      <c r="H6" s="35" t="n">
        <v>2</v>
      </c>
      <c r="I6" s="35" t="n">
        <v>2</v>
      </c>
      <c r="J6" s="35" t="n">
        <v>2</v>
      </c>
      <c r="K6" s="35" t="n">
        <v>2</v>
      </c>
      <c r="L6" s="35" t="n">
        <v>2</v>
      </c>
      <c r="M6" s="35" t="n">
        <v>2</v>
      </c>
      <c r="N6" s="35" t="n">
        <v>2</v>
      </c>
    </row>
    <row r="7" customFormat="false" ht="18" hidden="false" customHeight="true" outlineLevel="0" collapsed="false">
      <c r="B7" s="12" t="s">
        <v>96</v>
      </c>
      <c r="C7" s="35" t="n">
        <v>1</v>
      </c>
      <c r="D7" s="35" t="n">
        <v>1</v>
      </c>
      <c r="E7" s="35" t="n">
        <v>1</v>
      </c>
      <c r="F7" s="35" t="n">
        <v>1</v>
      </c>
      <c r="G7" s="35" t="n">
        <v>1</v>
      </c>
      <c r="H7" s="35" t="n">
        <v>1</v>
      </c>
      <c r="I7" s="35" t="n">
        <v>1</v>
      </c>
      <c r="J7" s="35" t="n">
        <v>1</v>
      </c>
      <c r="K7" s="35" t="n">
        <v>1</v>
      </c>
      <c r="L7" s="35" t="n">
        <v>1</v>
      </c>
      <c r="M7" s="35" t="n">
        <v>1</v>
      </c>
      <c r="N7" s="35" t="n">
        <v>1</v>
      </c>
    </row>
    <row r="8" customFormat="false" ht="18" hidden="false" customHeight="true" outlineLevel="0" collapsed="false">
      <c r="B8" s="12" t="s">
        <v>97</v>
      </c>
      <c r="C8" s="35" t="n">
        <v>1</v>
      </c>
      <c r="D8" s="35" t="n">
        <v>1</v>
      </c>
      <c r="E8" s="35" t="n">
        <v>1</v>
      </c>
      <c r="F8" s="35" t="n">
        <v>1</v>
      </c>
      <c r="G8" s="35" t="n">
        <v>1</v>
      </c>
      <c r="H8" s="35" t="n">
        <v>1</v>
      </c>
      <c r="I8" s="35" t="n">
        <v>1</v>
      </c>
      <c r="J8" s="35" t="n">
        <v>1</v>
      </c>
      <c r="K8" s="35" t="n">
        <v>1</v>
      </c>
      <c r="L8" s="35" t="n">
        <v>1</v>
      </c>
      <c r="M8" s="35" t="n">
        <v>1</v>
      </c>
      <c r="N8" s="35" t="n">
        <v>1</v>
      </c>
    </row>
    <row r="9" customFormat="false" ht="18" hidden="false" customHeight="true" outlineLevel="0" collapsed="false">
      <c r="B9" s="12" t="s">
        <v>98</v>
      </c>
      <c r="C9" s="35" t="n">
        <v>1</v>
      </c>
      <c r="D9" s="35" t="n">
        <v>1</v>
      </c>
      <c r="E9" s="35" t="n">
        <v>1</v>
      </c>
      <c r="F9" s="35" t="n">
        <v>1</v>
      </c>
      <c r="G9" s="35" t="n">
        <v>1</v>
      </c>
      <c r="H9" s="35" t="n">
        <v>1</v>
      </c>
      <c r="I9" s="35" t="n">
        <v>1</v>
      </c>
      <c r="J9" s="35" t="n">
        <v>1</v>
      </c>
      <c r="K9" s="35" t="n">
        <v>1</v>
      </c>
      <c r="L9" s="35" t="n">
        <v>1</v>
      </c>
      <c r="M9" s="35" t="n">
        <v>1</v>
      </c>
      <c r="N9" s="35" t="n">
        <v>1</v>
      </c>
    </row>
    <row r="10" customFormat="false" ht="18" hidden="false" customHeight="true" outlineLevel="0" collapsed="false">
      <c r="B10" s="12" t="s">
        <v>99</v>
      </c>
      <c r="C10" s="35" t="n">
        <v>2</v>
      </c>
      <c r="D10" s="35" t="n">
        <v>2</v>
      </c>
      <c r="E10" s="35" t="n">
        <v>2</v>
      </c>
      <c r="F10" s="35" t="n">
        <v>2</v>
      </c>
      <c r="G10" s="35" t="n">
        <v>2</v>
      </c>
      <c r="H10" s="35" t="n">
        <v>2</v>
      </c>
      <c r="I10" s="35" t="n">
        <v>2</v>
      </c>
      <c r="J10" s="35" t="n">
        <v>2</v>
      </c>
      <c r="K10" s="35" t="n">
        <v>2</v>
      </c>
      <c r="L10" s="35" t="n">
        <v>2</v>
      </c>
      <c r="M10" s="35" t="n">
        <v>2</v>
      </c>
      <c r="N10" s="35" t="n">
        <v>2</v>
      </c>
    </row>
    <row r="12" customFormat="false" ht="15.75" hidden="false" customHeight="true" outlineLevel="0" collapsed="false">
      <c r="B12" s="34" t="s">
        <v>100</v>
      </c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</row>
    <row r="13" customFormat="false" ht="18" hidden="false" customHeight="true" outlineLevel="0" collapsed="false">
      <c r="B13" s="12" t="s">
        <v>101</v>
      </c>
      <c r="C13" s="35" t="n">
        <v>0</v>
      </c>
      <c r="D13" s="35" t="n">
        <v>0</v>
      </c>
      <c r="E13" s="35" t="n">
        <v>0</v>
      </c>
      <c r="F13" s="36" t="n">
        <v>1</v>
      </c>
      <c r="G13" s="35" t="n">
        <v>1</v>
      </c>
      <c r="H13" s="35" t="n">
        <v>1</v>
      </c>
      <c r="I13" s="35" t="n">
        <v>1</v>
      </c>
      <c r="J13" s="35" t="n">
        <v>1</v>
      </c>
      <c r="K13" s="35" t="n">
        <v>1</v>
      </c>
      <c r="L13" s="35" t="n">
        <v>1</v>
      </c>
      <c r="M13" s="35" t="n">
        <v>1</v>
      </c>
      <c r="N13" s="35" t="n">
        <v>1</v>
      </c>
    </row>
    <row r="14" customFormat="false" ht="18" hidden="false" customHeight="true" outlineLevel="0" collapsed="false">
      <c r="B14" s="12" t="s">
        <v>102</v>
      </c>
      <c r="C14" s="35" t="n">
        <v>0</v>
      </c>
      <c r="D14" s="35" t="n">
        <v>0</v>
      </c>
      <c r="E14" s="35" t="n">
        <v>0</v>
      </c>
      <c r="F14" s="35" t="n">
        <v>0</v>
      </c>
      <c r="G14" s="35" t="n">
        <v>1</v>
      </c>
      <c r="H14" s="35" t="n">
        <v>1</v>
      </c>
      <c r="I14" s="35" t="n">
        <v>2</v>
      </c>
      <c r="J14" s="35" t="n">
        <v>2</v>
      </c>
      <c r="K14" s="35" t="n">
        <v>3</v>
      </c>
      <c r="L14" s="35" t="n">
        <v>4</v>
      </c>
      <c r="M14" s="35" t="n">
        <v>5</v>
      </c>
      <c r="N14" s="35" t="n">
        <v>5</v>
      </c>
    </row>
    <row r="15" customFormat="false" ht="18" hidden="false" customHeight="true" outlineLevel="0" collapsed="false">
      <c r="B15" s="12" t="s">
        <v>52</v>
      </c>
      <c r="C15" s="35" t="n">
        <v>0</v>
      </c>
      <c r="D15" s="35" t="n">
        <v>0</v>
      </c>
      <c r="E15" s="35" t="n">
        <v>0</v>
      </c>
      <c r="F15" s="35" t="n">
        <v>0</v>
      </c>
      <c r="G15" s="35" t="n">
        <v>0</v>
      </c>
      <c r="H15" s="35" t="n">
        <v>0</v>
      </c>
      <c r="I15" s="35" t="n">
        <v>0</v>
      </c>
      <c r="J15" s="35" t="n">
        <v>1</v>
      </c>
      <c r="K15" s="35" t="n">
        <v>1</v>
      </c>
      <c r="L15" s="35" t="n">
        <v>1</v>
      </c>
      <c r="M15" s="35" t="n">
        <v>2</v>
      </c>
      <c r="N15" s="35" t="n">
        <v>2</v>
      </c>
    </row>
    <row r="16" customFormat="false" ht="18" hidden="false" customHeight="true" outlineLevel="0" collapsed="false">
      <c r="B16" s="12" t="s">
        <v>103</v>
      </c>
      <c r="C16" s="35" t="n">
        <v>0</v>
      </c>
      <c r="D16" s="35" t="n">
        <v>0</v>
      </c>
      <c r="E16" s="35" t="n">
        <v>0</v>
      </c>
      <c r="F16" s="36" t="n">
        <v>1</v>
      </c>
      <c r="G16" s="35" t="n">
        <v>1</v>
      </c>
      <c r="H16" s="35" t="n">
        <v>1</v>
      </c>
      <c r="I16" s="35" t="n">
        <v>1</v>
      </c>
      <c r="J16" s="35" t="n">
        <v>1</v>
      </c>
      <c r="K16" s="35" t="n">
        <v>1</v>
      </c>
      <c r="L16" s="35" t="n">
        <v>1</v>
      </c>
      <c r="M16" s="35" t="n">
        <v>1</v>
      </c>
      <c r="N16" s="35" t="n">
        <v>1</v>
      </c>
    </row>
    <row r="17" customFormat="false" ht="18" hidden="false" customHeight="true" outlineLevel="0" collapsed="false">
      <c r="B17" s="12" t="s">
        <v>104</v>
      </c>
      <c r="C17" s="35" t="n">
        <v>0</v>
      </c>
      <c r="D17" s="35" t="n">
        <v>0</v>
      </c>
      <c r="E17" s="35" t="n">
        <v>0</v>
      </c>
      <c r="F17" s="35" t="n">
        <v>0</v>
      </c>
      <c r="G17" s="35" t="n">
        <v>0</v>
      </c>
      <c r="H17" s="35" t="n">
        <v>0</v>
      </c>
      <c r="I17" s="35" t="n">
        <v>1</v>
      </c>
      <c r="J17" s="35" t="n">
        <v>1</v>
      </c>
      <c r="K17" s="35" t="n">
        <v>1</v>
      </c>
      <c r="L17" s="35" t="n">
        <v>1</v>
      </c>
      <c r="M17" s="35" t="n">
        <v>1</v>
      </c>
      <c r="N17" s="35" t="n">
        <v>1</v>
      </c>
    </row>
    <row r="18" customFormat="false" ht="18" hidden="false" customHeight="true" outlineLevel="0" collapsed="false">
      <c r="B18" s="12" t="s">
        <v>105</v>
      </c>
      <c r="C18" s="35" t="n">
        <v>0</v>
      </c>
      <c r="D18" s="35" t="n">
        <v>0</v>
      </c>
      <c r="E18" s="35" t="n">
        <v>0</v>
      </c>
      <c r="F18" s="35" t="n">
        <v>0</v>
      </c>
      <c r="G18" s="35" t="n">
        <v>0</v>
      </c>
      <c r="H18" s="35" t="n">
        <v>0</v>
      </c>
      <c r="I18" s="35" t="n">
        <v>0</v>
      </c>
      <c r="J18" s="35" t="n">
        <v>1</v>
      </c>
      <c r="K18" s="35" t="n">
        <v>1</v>
      </c>
      <c r="L18" s="35" t="n">
        <v>1</v>
      </c>
      <c r="M18" s="35" t="n">
        <v>1</v>
      </c>
      <c r="N18" s="35" t="n">
        <v>1</v>
      </c>
    </row>
    <row r="19" customFormat="false" ht="18" hidden="false" customHeight="true" outlineLevel="0" collapsed="false">
      <c r="B19" s="12" t="s">
        <v>60</v>
      </c>
      <c r="C19" s="35" t="n">
        <v>0</v>
      </c>
      <c r="D19" s="35" t="n">
        <v>0</v>
      </c>
      <c r="E19" s="35" t="n">
        <v>0</v>
      </c>
      <c r="F19" s="35" t="n">
        <v>0</v>
      </c>
      <c r="G19" s="35" t="n">
        <v>0</v>
      </c>
      <c r="H19" s="35" t="n">
        <v>0</v>
      </c>
      <c r="I19" s="35" t="n">
        <v>0</v>
      </c>
      <c r="J19" s="35" t="n">
        <v>0</v>
      </c>
      <c r="K19" s="36" t="n">
        <v>1</v>
      </c>
      <c r="L19" s="35" t="n">
        <v>1</v>
      </c>
      <c r="M19" s="35" t="n">
        <v>1</v>
      </c>
      <c r="N19" s="35" t="n">
        <v>1</v>
      </c>
    </row>
    <row r="20" customFormat="false" ht="18" hidden="false" customHeight="true" outlineLevel="0" collapsed="false">
      <c r="B20" s="12" t="s">
        <v>62</v>
      </c>
      <c r="C20" s="35" t="n">
        <v>0</v>
      </c>
      <c r="D20" s="35" t="n">
        <v>0</v>
      </c>
      <c r="E20" s="35" t="n">
        <v>0</v>
      </c>
      <c r="F20" s="35" t="n">
        <v>0</v>
      </c>
      <c r="G20" s="35" t="n">
        <v>0</v>
      </c>
      <c r="H20" s="35" t="n">
        <v>0</v>
      </c>
      <c r="I20" s="35" t="n">
        <v>0</v>
      </c>
      <c r="J20" s="35" t="n">
        <v>0</v>
      </c>
      <c r="K20" s="35" t="n">
        <v>0</v>
      </c>
      <c r="L20" s="35" t="n">
        <v>1</v>
      </c>
      <c r="M20" s="35" t="n">
        <v>1</v>
      </c>
      <c r="N20" s="35" t="n">
        <v>1</v>
      </c>
    </row>
    <row r="22" customFormat="false" ht="15.75" hidden="false" customHeight="true" outlineLevel="0" collapsed="false">
      <c r="B22" s="37" t="s">
        <v>106</v>
      </c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</row>
    <row r="23" customFormat="false" ht="18" hidden="false" customHeight="true" outlineLevel="0" collapsed="false">
      <c r="B23" s="38" t="s">
        <v>107</v>
      </c>
      <c r="C23" s="39" t="n">
        <v>3</v>
      </c>
      <c r="D23" s="39" t="n">
        <v>3</v>
      </c>
      <c r="E23" s="39" t="n">
        <v>3</v>
      </c>
      <c r="F23" s="39" t="n">
        <v>3</v>
      </c>
      <c r="G23" s="39" t="n">
        <v>4</v>
      </c>
      <c r="H23" s="39" t="n">
        <v>4</v>
      </c>
      <c r="I23" s="39" t="n">
        <v>5</v>
      </c>
      <c r="J23" s="39" t="n">
        <v>5</v>
      </c>
      <c r="K23" s="39" t="n">
        <v>6</v>
      </c>
      <c r="L23" s="39" t="n">
        <v>7</v>
      </c>
      <c r="M23" s="39" t="n">
        <v>8</v>
      </c>
      <c r="N23" s="39" t="n">
        <v>8</v>
      </c>
    </row>
    <row r="24" customFormat="false" ht="18" hidden="false" customHeight="true" outlineLevel="0" collapsed="false">
      <c r="B24" s="38" t="s">
        <v>108</v>
      </c>
      <c r="C24" s="39" t="n">
        <v>1</v>
      </c>
      <c r="D24" s="39" t="n">
        <v>1</v>
      </c>
      <c r="E24" s="39" t="n">
        <v>1</v>
      </c>
      <c r="F24" s="39" t="n">
        <v>1</v>
      </c>
      <c r="G24" s="39" t="n">
        <v>1</v>
      </c>
      <c r="H24" s="39" t="n">
        <v>1</v>
      </c>
      <c r="I24" s="39" t="n">
        <v>1</v>
      </c>
      <c r="J24" s="39" t="n">
        <v>2</v>
      </c>
      <c r="K24" s="39" t="n">
        <v>2</v>
      </c>
      <c r="L24" s="39" t="n">
        <v>2</v>
      </c>
      <c r="M24" s="39" t="n">
        <v>3</v>
      </c>
      <c r="N24" s="39" t="n">
        <v>3</v>
      </c>
    </row>
    <row r="25" customFormat="false" ht="18" hidden="false" customHeight="true" outlineLevel="0" collapsed="false">
      <c r="B25" s="38" t="s">
        <v>109</v>
      </c>
      <c r="C25" s="40" t="n">
        <v>7</v>
      </c>
      <c r="D25" s="40" t="n">
        <v>7</v>
      </c>
      <c r="E25" s="40" t="n">
        <v>8</v>
      </c>
      <c r="F25" s="40" t="n">
        <v>9</v>
      </c>
      <c r="G25" s="40" t="n">
        <v>10</v>
      </c>
      <c r="H25" s="40" t="n">
        <v>10</v>
      </c>
      <c r="I25" s="40" t="n">
        <v>12</v>
      </c>
      <c r="J25" s="40" t="n">
        <v>14</v>
      </c>
      <c r="K25" s="40" t="n">
        <v>16</v>
      </c>
      <c r="L25" s="40" t="n">
        <v>18</v>
      </c>
      <c r="M25" s="40" t="n">
        <v>19</v>
      </c>
      <c r="N25" s="40" t="n">
        <v>19</v>
      </c>
    </row>
    <row r="27" customFormat="false" ht="15.75" hidden="false" customHeight="true" outlineLevel="0" collapsed="false">
      <c r="B27" s="41" t="s">
        <v>110</v>
      </c>
    </row>
    <row r="28" customFormat="false" ht="18" hidden="false" customHeight="true" outlineLevel="0" collapsed="false">
      <c r="B28" s="42" t="s">
        <v>111</v>
      </c>
      <c r="C28" s="28" t="s">
        <v>112</v>
      </c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</row>
    <row r="29" customFormat="false" ht="18" hidden="false" customHeight="true" outlineLevel="0" collapsed="false">
      <c r="B29" s="42" t="s">
        <v>113</v>
      </c>
      <c r="C29" s="28" t="s">
        <v>114</v>
      </c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</row>
    <row r="30" customFormat="false" ht="18" hidden="false" customHeight="true" outlineLevel="0" collapsed="false">
      <c r="B30" s="42" t="s">
        <v>115</v>
      </c>
      <c r="C30" s="28" t="s">
        <v>116</v>
      </c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</row>
    <row r="31" customFormat="false" ht="18" hidden="false" customHeight="true" outlineLevel="0" collapsed="false">
      <c r="B31" s="42" t="s">
        <v>117</v>
      </c>
      <c r="C31" s="28" t="s">
        <v>118</v>
      </c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</row>
    <row r="32" customFormat="false" ht="18" hidden="false" customHeight="true" outlineLevel="0" collapsed="false">
      <c r="B32" s="42" t="s">
        <v>119</v>
      </c>
      <c r="C32" s="28" t="s">
        <v>120</v>
      </c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customFormat="false" ht="18" hidden="false" customHeight="true" outlineLevel="0" collapsed="false">
      <c r="B33" s="42" t="s">
        <v>121</v>
      </c>
      <c r="C33" s="28" t="s">
        <v>122</v>
      </c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</row>
  </sheetData>
  <mergeCells count="10">
    <mergeCell ref="B2:N2"/>
    <mergeCell ref="B5:N5"/>
    <mergeCell ref="B12:N12"/>
    <mergeCell ref="B22:N22"/>
    <mergeCell ref="C28:N28"/>
    <mergeCell ref="C29:N29"/>
    <mergeCell ref="C30:N30"/>
    <mergeCell ref="C31:N31"/>
    <mergeCell ref="C32:N32"/>
    <mergeCell ref="C33:N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N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14" min="3" style="0" width="11"/>
    <col collapsed="false" customWidth="true" hidden="false" outlineLevel="0" max="15" min="15" style="0" width="2"/>
  </cols>
  <sheetData>
    <row r="2" customFormat="false" ht="25.5" hidden="false" customHeight="true" outlineLevel="0" collapsed="false">
      <c r="B2" s="19" t="s">
        <v>123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</row>
    <row r="4" customFormat="false" ht="19.5" hidden="false" customHeight="true" outlineLevel="0" collapsed="false">
      <c r="B4" s="20" t="s">
        <v>124</v>
      </c>
      <c r="C4" s="31" t="s">
        <v>82</v>
      </c>
      <c r="D4" s="31" t="s">
        <v>83</v>
      </c>
      <c r="E4" s="31" t="s">
        <v>84</v>
      </c>
      <c r="F4" s="31" t="s">
        <v>85</v>
      </c>
      <c r="G4" s="32" t="s">
        <v>86</v>
      </c>
      <c r="H4" s="32" t="s">
        <v>87</v>
      </c>
      <c r="I4" s="32" t="s">
        <v>88</v>
      </c>
      <c r="J4" s="32" t="s">
        <v>89</v>
      </c>
      <c r="K4" s="33" t="s">
        <v>90</v>
      </c>
      <c r="L4" s="33" t="s">
        <v>91</v>
      </c>
      <c r="M4" s="33" t="s">
        <v>92</v>
      </c>
      <c r="N4" s="33" t="s">
        <v>93</v>
      </c>
    </row>
    <row r="5" customFormat="false" ht="15.75" hidden="false" customHeight="true" outlineLevel="0" collapsed="false">
      <c r="B5" s="37" t="s">
        <v>125</v>
      </c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</row>
    <row r="6" customFormat="false" ht="18" hidden="false" customHeight="true" outlineLevel="0" collapsed="false">
      <c r="B6" s="43" t="s">
        <v>126</v>
      </c>
      <c r="C6" s="44" t="n">
        <v>2</v>
      </c>
      <c r="D6" s="44" t="n">
        <v>4</v>
      </c>
      <c r="E6" s="44" t="n">
        <v>6</v>
      </c>
      <c r="F6" s="44" t="n">
        <v>9</v>
      </c>
      <c r="G6" s="44" t="n">
        <v>12</v>
      </c>
      <c r="H6" s="44" t="n">
        <v>15</v>
      </c>
      <c r="I6" s="44" t="n">
        <v>18</v>
      </c>
      <c r="J6" s="44" t="n">
        <v>21</v>
      </c>
      <c r="K6" s="44" t="n">
        <v>26</v>
      </c>
      <c r="L6" s="44" t="n">
        <v>32</v>
      </c>
      <c r="M6" s="44" t="n">
        <v>40</v>
      </c>
      <c r="N6" s="44" t="n">
        <v>48</v>
      </c>
    </row>
    <row r="7" customFormat="false" ht="18" hidden="false" customHeight="true" outlineLevel="0" collapsed="false">
      <c r="B7" s="12" t="s">
        <v>127</v>
      </c>
      <c r="C7" s="45" t="n">
        <v>2</v>
      </c>
      <c r="D7" s="45" t="n">
        <v>4</v>
      </c>
      <c r="E7" s="45" t="n">
        <v>5</v>
      </c>
      <c r="F7" s="45" t="n">
        <v>7</v>
      </c>
      <c r="G7" s="45" t="n">
        <v>10</v>
      </c>
      <c r="H7" s="45" t="n">
        <v>13</v>
      </c>
      <c r="I7" s="45" t="n">
        <v>16</v>
      </c>
      <c r="J7" s="45" t="n">
        <v>19</v>
      </c>
      <c r="K7" s="45" t="n">
        <v>23</v>
      </c>
      <c r="L7" s="45" t="n">
        <v>28</v>
      </c>
      <c r="M7" s="45" t="n">
        <v>35</v>
      </c>
      <c r="N7" s="45" t="n">
        <v>42</v>
      </c>
    </row>
    <row r="8" customFormat="false" ht="18" hidden="false" customHeight="true" outlineLevel="0" collapsed="false">
      <c r="B8" s="12" t="s">
        <v>128</v>
      </c>
      <c r="C8" s="45" t="n">
        <v>0</v>
      </c>
      <c r="D8" s="45" t="n">
        <v>0</v>
      </c>
      <c r="E8" s="45" t="n">
        <v>1</v>
      </c>
      <c r="F8" s="45" t="n">
        <v>2</v>
      </c>
      <c r="G8" s="45" t="n">
        <v>2</v>
      </c>
      <c r="H8" s="45" t="n">
        <v>2</v>
      </c>
      <c r="I8" s="45" t="n">
        <v>2</v>
      </c>
      <c r="J8" s="45" t="n">
        <v>2</v>
      </c>
      <c r="K8" s="45" t="n">
        <v>3</v>
      </c>
      <c r="L8" s="45" t="n">
        <v>4</v>
      </c>
      <c r="M8" s="45" t="n">
        <v>5</v>
      </c>
      <c r="N8" s="45" t="n">
        <v>6</v>
      </c>
    </row>
    <row r="10" customFormat="false" ht="15.75" hidden="false" customHeight="true" outlineLevel="0" collapsed="false">
      <c r="B10" s="37" t="s">
        <v>129</v>
      </c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</row>
    <row r="11" customFormat="false" ht="18" hidden="false" customHeight="true" outlineLevel="0" collapsed="false">
      <c r="B11" s="12" t="s">
        <v>130</v>
      </c>
      <c r="C11" s="46" t="n">
        <f aca="false">Assumptions!C5*Assumptions!C8+Assumptions!C6*Assumptions!C9+Assumptions!C7*Assumptions!C10</f>
        <v>4787.5</v>
      </c>
      <c r="D11" s="46" t="n">
        <f aca="false">Assumptions!C5*Assumptions!C8+Assumptions!C6*Assumptions!C9+Assumptions!C7*Assumptions!C10</f>
        <v>4787.5</v>
      </c>
      <c r="E11" s="46" t="n">
        <f aca="false">Assumptions!C5*Assumptions!C8+Assumptions!C6*Assumptions!C9+Assumptions!C7*Assumptions!C10</f>
        <v>4787.5</v>
      </c>
      <c r="F11" s="46" t="n">
        <f aca="false">Assumptions!C5*Assumptions!C8+Assumptions!C6*Assumptions!C9+Assumptions!C7*Assumptions!C10</f>
        <v>4787.5</v>
      </c>
      <c r="G11" s="46" t="n">
        <f aca="false">Assumptions!C5*Assumptions!C8+Assumptions!C6*Assumptions!C9+Assumptions!C7*Assumptions!C10</f>
        <v>4787.5</v>
      </c>
      <c r="H11" s="46" t="n">
        <f aca="false">Assumptions!C5*Assumptions!C8+Assumptions!C6*Assumptions!C9+Assumptions!C7*Assumptions!C10</f>
        <v>4787.5</v>
      </c>
      <c r="I11" s="46" t="n">
        <f aca="false">Assumptions!C5*Assumptions!C8+Assumptions!C6*Assumptions!C9+Assumptions!C7*Assumptions!C10</f>
        <v>4787.5</v>
      </c>
      <c r="J11" s="46" t="n">
        <f aca="false">Assumptions!C5*Assumptions!C8+Assumptions!C6*Assumptions!C9+Assumptions!C7*Assumptions!C10</f>
        <v>4787.5</v>
      </c>
      <c r="K11" s="46" t="n">
        <f aca="false">Assumptions!C5*Assumptions!C8+Assumptions!C6*Assumptions!C9+Assumptions!C7*Assumptions!C10</f>
        <v>4787.5</v>
      </c>
      <c r="L11" s="46" t="n">
        <f aca="false">Assumptions!C5*Assumptions!C8+Assumptions!C6*Assumptions!C9+Assumptions!C7*Assumptions!C10</f>
        <v>4787.5</v>
      </c>
      <c r="M11" s="46" t="n">
        <f aca="false">Assumptions!C5*Assumptions!C8+Assumptions!C6*Assumptions!C9+Assumptions!C7*Assumptions!C10</f>
        <v>4787.5</v>
      </c>
      <c r="N11" s="46" t="n">
        <f aca="false">Assumptions!C5*Assumptions!C8+Assumptions!C6*Assumptions!C9+Assumptions!C7*Assumptions!C10</f>
        <v>4787.5</v>
      </c>
    </row>
    <row r="12" customFormat="false" ht="18" hidden="false" customHeight="true" outlineLevel="0" collapsed="false">
      <c r="B12" s="38" t="s">
        <v>131</v>
      </c>
      <c r="C12" s="47" t="n">
        <f aca="false">C6*C11</f>
        <v>9575</v>
      </c>
      <c r="D12" s="47" t="n">
        <f aca="false">D6*D11</f>
        <v>19150</v>
      </c>
      <c r="E12" s="47" t="n">
        <f aca="false">E6*E11</f>
        <v>28725</v>
      </c>
      <c r="F12" s="47" t="n">
        <f aca="false">F6*F11</f>
        <v>43087.5</v>
      </c>
      <c r="G12" s="47" t="n">
        <f aca="false">G6*G11</f>
        <v>57450</v>
      </c>
      <c r="H12" s="47" t="n">
        <f aca="false">H6*H11</f>
        <v>71812.5</v>
      </c>
      <c r="I12" s="47" t="n">
        <f aca="false">I6*I11</f>
        <v>86175</v>
      </c>
      <c r="J12" s="47" t="n">
        <f aca="false">J6*J11</f>
        <v>100537.5</v>
      </c>
      <c r="K12" s="47" t="n">
        <f aca="false">K6*K11</f>
        <v>124475</v>
      </c>
      <c r="L12" s="47" t="n">
        <f aca="false">L6*L11</f>
        <v>153200</v>
      </c>
      <c r="M12" s="47" t="n">
        <f aca="false">M6*M11</f>
        <v>191500</v>
      </c>
      <c r="N12" s="47" t="n">
        <f aca="false">N6*N11</f>
        <v>229800</v>
      </c>
    </row>
    <row r="13" customFormat="false" ht="18" hidden="false" customHeight="true" outlineLevel="0" collapsed="false">
      <c r="B13" s="38" t="s">
        <v>132</v>
      </c>
      <c r="C13" s="47" t="n">
        <f aca="false">C12*3</f>
        <v>28725</v>
      </c>
      <c r="D13" s="47" t="n">
        <f aca="false">D12*3</f>
        <v>57450</v>
      </c>
      <c r="E13" s="47" t="n">
        <f aca="false">E12*3</f>
        <v>86175</v>
      </c>
      <c r="F13" s="47" t="n">
        <f aca="false">F12*3</f>
        <v>129262.5</v>
      </c>
      <c r="G13" s="47" t="n">
        <f aca="false">G12*3</f>
        <v>172350</v>
      </c>
      <c r="H13" s="47" t="n">
        <f aca="false">H12*3</f>
        <v>215437.5</v>
      </c>
      <c r="I13" s="47" t="n">
        <f aca="false">I12*3</f>
        <v>258525</v>
      </c>
      <c r="J13" s="47" t="n">
        <f aca="false">J12*3</f>
        <v>301612.5</v>
      </c>
      <c r="K13" s="47" t="n">
        <f aca="false">K12*3</f>
        <v>373425</v>
      </c>
      <c r="L13" s="47" t="n">
        <f aca="false">L12*3</f>
        <v>459600</v>
      </c>
      <c r="M13" s="47" t="n">
        <f aca="false">M12*3</f>
        <v>574500</v>
      </c>
      <c r="N13" s="47" t="n">
        <f aca="false">N12*3</f>
        <v>689400</v>
      </c>
    </row>
    <row r="14" customFormat="false" ht="18" hidden="false" customHeight="true" outlineLevel="0" collapsed="false">
      <c r="B14" s="38" t="s">
        <v>133</v>
      </c>
      <c r="C14" s="48" t="n">
        <f aca="false">C12*12</f>
        <v>114900</v>
      </c>
      <c r="D14" s="48" t="n">
        <f aca="false">D12*12</f>
        <v>229800</v>
      </c>
      <c r="E14" s="48" t="n">
        <f aca="false">E12*12</f>
        <v>344700</v>
      </c>
      <c r="F14" s="48" t="n">
        <f aca="false">F12*12</f>
        <v>517050</v>
      </c>
      <c r="G14" s="48" t="n">
        <f aca="false">G12*12</f>
        <v>689400</v>
      </c>
      <c r="H14" s="48" t="n">
        <f aca="false">H12*12</f>
        <v>861750</v>
      </c>
      <c r="I14" s="48" t="n">
        <f aca="false">I12*12</f>
        <v>1034100</v>
      </c>
      <c r="J14" s="48" t="n">
        <f aca="false">J12*12</f>
        <v>1206450</v>
      </c>
      <c r="K14" s="48" t="n">
        <f aca="false">K12*12</f>
        <v>1493700</v>
      </c>
      <c r="L14" s="48" t="n">
        <f aca="false">L12*12</f>
        <v>1838400</v>
      </c>
      <c r="M14" s="48" t="n">
        <f aca="false">M12*12</f>
        <v>2298000</v>
      </c>
      <c r="N14" s="48" t="n">
        <f aca="false">N12*12</f>
        <v>2757600</v>
      </c>
    </row>
    <row r="16" customFormat="false" ht="15.75" hidden="false" customHeight="true" outlineLevel="0" collapsed="false">
      <c r="B16" s="37" t="s">
        <v>134</v>
      </c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</row>
    <row r="17" customFormat="false" ht="18" hidden="false" customHeight="true" outlineLevel="0" collapsed="false">
      <c r="B17" s="12" t="s">
        <v>135</v>
      </c>
      <c r="C17" s="49" t="n">
        <v>0</v>
      </c>
      <c r="D17" s="49" t="n">
        <v>0</v>
      </c>
      <c r="E17" s="49" t="n">
        <v>0</v>
      </c>
      <c r="F17" s="49" t="n">
        <v>0</v>
      </c>
      <c r="G17" s="49" t="n">
        <v>12000</v>
      </c>
      <c r="H17" s="49" t="n">
        <v>12000</v>
      </c>
      <c r="I17" s="49" t="n">
        <v>12000</v>
      </c>
      <c r="J17" s="49" t="n">
        <v>12000</v>
      </c>
      <c r="K17" s="49" t="n">
        <v>18000</v>
      </c>
      <c r="L17" s="49" t="n">
        <v>18000</v>
      </c>
      <c r="M17" s="49" t="n">
        <v>18000</v>
      </c>
      <c r="N17" s="49" t="n">
        <v>18000</v>
      </c>
    </row>
    <row r="18" customFormat="false" ht="18" hidden="false" customHeight="true" outlineLevel="0" collapsed="false">
      <c r="B18" s="12" t="s">
        <v>136</v>
      </c>
      <c r="C18" s="49" t="n">
        <v>5500</v>
      </c>
      <c r="D18" s="49" t="n">
        <v>5500</v>
      </c>
      <c r="E18" s="49" t="n">
        <v>5500</v>
      </c>
      <c r="F18" s="49" t="n">
        <v>5500</v>
      </c>
      <c r="G18" s="49" t="n">
        <v>8500</v>
      </c>
      <c r="H18" s="49" t="n">
        <v>8500</v>
      </c>
      <c r="I18" s="49" t="n">
        <v>11500</v>
      </c>
      <c r="J18" s="49" t="n">
        <v>11500</v>
      </c>
      <c r="K18" s="49" t="n">
        <v>14500</v>
      </c>
      <c r="L18" s="49" t="n">
        <v>17500</v>
      </c>
      <c r="M18" s="49" t="n">
        <v>20500</v>
      </c>
      <c r="N18" s="49" t="n">
        <v>20500</v>
      </c>
    </row>
    <row r="19" customFormat="false" ht="18" hidden="false" customHeight="true" outlineLevel="0" collapsed="false">
      <c r="B19" s="12" t="s">
        <v>137</v>
      </c>
      <c r="C19" s="49" t="n">
        <v>8000</v>
      </c>
      <c r="D19" s="49" t="n">
        <v>8000</v>
      </c>
      <c r="E19" s="49" t="n">
        <v>8000</v>
      </c>
      <c r="F19" s="49" t="n">
        <v>8000</v>
      </c>
      <c r="G19" s="49" t="n">
        <v>8000</v>
      </c>
      <c r="H19" s="49" t="n">
        <v>8000</v>
      </c>
      <c r="I19" s="49" t="n">
        <v>8000</v>
      </c>
      <c r="J19" s="49" t="n">
        <v>14000</v>
      </c>
      <c r="K19" s="49" t="n">
        <v>14000</v>
      </c>
      <c r="L19" s="49" t="n">
        <v>14000</v>
      </c>
      <c r="M19" s="49" t="n">
        <v>20000</v>
      </c>
      <c r="N19" s="49" t="n">
        <v>20000</v>
      </c>
    </row>
    <row r="20" customFormat="false" ht="18" hidden="false" customHeight="true" outlineLevel="0" collapsed="false">
      <c r="B20" s="12" t="s">
        <v>54</v>
      </c>
      <c r="C20" s="49" t="n">
        <v>0</v>
      </c>
      <c r="D20" s="49" t="n">
        <v>0</v>
      </c>
      <c r="E20" s="49" t="n">
        <v>0</v>
      </c>
      <c r="F20" s="49" t="n">
        <v>5500</v>
      </c>
      <c r="G20" s="49" t="n">
        <v>5500</v>
      </c>
      <c r="H20" s="49" t="n">
        <v>5500</v>
      </c>
      <c r="I20" s="49" t="n">
        <v>5500</v>
      </c>
      <c r="J20" s="49" t="n">
        <v>5500</v>
      </c>
      <c r="K20" s="49" t="n">
        <v>5500</v>
      </c>
      <c r="L20" s="49" t="n">
        <v>5500</v>
      </c>
      <c r="M20" s="49" t="n">
        <v>5500</v>
      </c>
      <c r="N20" s="49" t="n">
        <v>5500</v>
      </c>
    </row>
    <row r="21" customFormat="false" ht="18" hidden="false" customHeight="true" outlineLevel="0" collapsed="false">
      <c r="B21" s="12" t="s">
        <v>56</v>
      </c>
      <c r="C21" s="49" t="n">
        <v>0</v>
      </c>
      <c r="D21" s="49" t="n">
        <v>0</v>
      </c>
      <c r="E21" s="49" t="n">
        <v>0</v>
      </c>
      <c r="F21" s="49" t="n">
        <v>6000</v>
      </c>
      <c r="G21" s="49" t="n">
        <v>6000</v>
      </c>
      <c r="H21" s="49" t="n">
        <v>6000</v>
      </c>
      <c r="I21" s="49" t="n">
        <v>6000</v>
      </c>
      <c r="J21" s="49" t="n">
        <v>6000</v>
      </c>
      <c r="K21" s="49" t="n">
        <v>6000</v>
      </c>
      <c r="L21" s="49" t="n">
        <v>6000</v>
      </c>
      <c r="M21" s="49" t="n">
        <v>6000</v>
      </c>
      <c r="N21" s="49" t="n">
        <v>6000</v>
      </c>
    </row>
    <row r="22" customFormat="false" ht="18" hidden="false" customHeight="true" outlineLevel="0" collapsed="false">
      <c r="B22" s="12" t="s">
        <v>58</v>
      </c>
      <c r="C22" s="49" t="n">
        <v>0</v>
      </c>
      <c r="D22" s="49" t="n">
        <v>0</v>
      </c>
      <c r="E22" s="49" t="n">
        <v>0</v>
      </c>
      <c r="F22" s="49" t="n">
        <v>0</v>
      </c>
      <c r="G22" s="49" t="n">
        <v>0</v>
      </c>
      <c r="H22" s="49" t="n">
        <v>0</v>
      </c>
      <c r="I22" s="49" t="n">
        <v>3500</v>
      </c>
      <c r="J22" s="49" t="n">
        <v>3500</v>
      </c>
      <c r="K22" s="49" t="n">
        <v>3500</v>
      </c>
      <c r="L22" s="49" t="n">
        <v>3500</v>
      </c>
      <c r="M22" s="49" t="n">
        <v>3500</v>
      </c>
      <c r="N22" s="49" t="n">
        <v>3500</v>
      </c>
    </row>
    <row r="23" customFormat="false" ht="18" hidden="false" customHeight="true" outlineLevel="0" collapsed="false">
      <c r="B23" s="12" t="s">
        <v>105</v>
      </c>
      <c r="C23" s="49" t="n">
        <v>0</v>
      </c>
      <c r="D23" s="49" t="n">
        <v>0</v>
      </c>
      <c r="E23" s="49" t="n">
        <v>0</v>
      </c>
      <c r="F23" s="49" t="n">
        <v>0</v>
      </c>
      <c r="G23" s="49" t="n">
        <v>0</v>
      </c>
      <c r="H23" s="49" t="n">
        <v>0</v>
      </c>
      <c r="I23" s="49" t="n">
        <v>0</v>
      </c>
      <c r="J23" s="49" t="n">
        <v>5500</v>
      </c>
      <c r="K23" s="49" t="n">
        <v>5500</v>
      </c>
      <c r="L23" s="49" t="n">
        <v>5500</v>
      </c>
      <c r="M23" s="49" t="n">
        <v>5500</v>
      </c>
      <c r="N23" s="49" t="n">
        <v>5500</v>
      </c>
    </row>
    <row r="24" customFormat="false" ht="18" hidden="false" customHeight="true" outlineLevel="0" collapsed="false">
      <c r="B24" s="12" t="s">
        <v>60</v>
      </c>
      <c r="C24" s="49" t="n">
        <v>0</v>
      </c>
      <c r="D24" s="49" t="n">
        <v>0</v>
      </c>
      <c r="E24" s="49" t="n">
        <v>0</v>
      </c>
      <c r="F24" s="49" t="n">
        <v>0</v>
      </c>
      <c r="G24" s="49" t="n">
        <v>0</v>
      </c>
      <c r="H24" s="49" t="n">
        <v>0</v>
      </c>
      <c r="I24" s="49" t="n">
        <v>0</v>
      </c>
      <c r="J24" s="49" t="n">
        <v>0</v>
      </c>
      <c r="K24" s="49" t="n">
        <v>12000</v>
      </c>
      <c r="L24" s="49" t="n">
        <v>12000</v>
      </c>
      <c r="M24" s="49" t="n">
        <v>12000</v>
      </c>
      <c r="N24" s="49" t="n">
        <v>12000</v>
      </c>
    </row>
    <row r="25" customFormat="false" ht="18" hidden="false" customHeight="true" outlineLevel="0" collapsed="false">
      <c r="B25" s="12" t="s">
        <v>62</v>
      </c>
      <c r="C25" s="49" t="n">
        <v>0</v>
      </c>
      <c r="D25" s="49" t="n">
        <v>0</v>
      </c>
      <c r="E25" s="49" t="n">
        <v>0</v>
      </c>
      <c r="F25" s="49" t="n">
        <v>0</v>
      </c>
      <c r="G25" s="49" t="n">
        <v>0</v>
      </c>
      <c r="H25" s="49" t="n">
        <v>0</v>
      </c>
      <c r="I25" s="49" t="n">
        <v>0</v>
      </c>
      <c r="J25" s="49" t="n">
        <v>0</v>
      </c>
      <c r="K25" s="49" t="n">
        <v>0</v>
      </c>
      <c r="L25" s="49" t="n">
        <v>7000</v>
      </c>
      <c r="M25" s="49" t="n">
        <v>7000</v>
      </c>
      <c r="N25" s="49" t="n">
        <v>7000</v>
      </c>
    </row>
    <row r="26" customFormat="false" ht="18" hidden="false" customHeight="true" outlineLevel="0" collapsed="false">
      <c r="B26" s="12" t="s">
        <v>138</v>
      </c>
      <c r="C26" s="49" t="n">
        <v>3000</v>
      </c>
      <c r="D26" s="49" t="n">
        <v>3000</v>
      </c>
      <c r="E26" s="49" t="n">
        <v>3000</v>
      </c>
      <c r="F26" s="49" t="n">
        <v>3000</v>
      </c>
      <c r="G26" s="49" t="n">
        <v>3000</v>
      </c>
      <c r="H26" s="49" t="n">
        <v>3000</v>
      </c>
      <c r="I26" s="49" t="n">
        <v>3000</v>
      </c>
      <c r="J26" s="49" t="n">
        <v>3000</v>
      </c>
      <c r="K26" s="49" t="n">
        <v>3000</v>
      </c>
      <c r="L26" s="49" t="n">
        <v>3000</v>
      </c>
      <c r="M26" s="49" t="n">
        <v>3000</v>
      </c>
      <c r="N26" s="49" t="n">
        <v>3000</v>
      </c>
    </row>
    <row r="27" customFormat="false" ht="18" hidden="false" customHeight="true" outlineLevel="0" collapsed="false">
      <c r="B27" s="38" t="s">
        <v>139</v>
      </c>
      <c r="C27" s="48" t="n">
        <f aca="false">C17+C18+C19+C20+C21+C22+C23+C24+C25+C26</f>
        <v>16500</v>
      </c>
      <c r="D27" s="48" t="n">
        <f aca="false">D17+D18+D19+D20+D21+D22+D23+D24+D25+D26</f>
        <v>16500</v>
      </c>
      <c r="E27" s="48" t="n">
        <f aca="false">E17+E18+E19+E20+E21+E22+E23+E24+E25+E26</f>
        <v>16500</v>
      </c>
      <c r="F27" s="48" t="n">
        <f aca="false">F17+F18+F19+F20+F21+F22+F23+F24+F25+F26</f>
        <v>28000</v>
      </c>
      <c r="G27" s="48" t="n">
        <f aca="false">G17+G18+G19+G20+G21+G22+G23+G24+G25+G26</f>
        <v>43000</v>
      </c>
      <c r="H27" s="48" t="n">
        <f aca="false">H17+H18+H19+H20+H21+H22+H23+H24+H25+H26</f>
        <v>43000</v>
      </c>
      <c r="I27" s="48" t="n">
        <f aca="false">I17+I18+I19+I20+I21+I22+I23+I24+I25+I26</f>
        <v>49500</v>
      </c>
      <c r="J27" s="48" t="n">
        <f aca="false">J17+J18+J19+J20+J21+J22+J23+J24+J25+J26</f>
        <v>61000</v>
      </c>
      <c r="K27" s="48" t="n">
        <f aca="false">K17+K18+K19+K20+K21+K22+K23+K24+K25+K26</f>
        <v>82000</v>
      </c>
      <c r="L27" s="48" t="n">
        <f aca="false">L17+L18+L19+L20+L21+L22+L23+L24+L25+L26</f>
        <v>92000</v>
      </c>
      <c r="M27" s="48" t="n">
        <f aca="false">M17+M18+M19+M20+M21+M22+M23+M24+M25+M26</f>
        <v>101000</v>
      </c>
      <c r="N27" s="48" t="n">
        <f aca="false">N17+N18+N19+N20+N21+N22+N23+N24+N25+N26</f>
        <v>101000</v>
      </c>
    </row>
    <row r="29" customFormat="false" ht="15.75" hidden="false" customHeight="true" outlineLevel="0" collapsed="false">
      <c r="B29" s="37" t="s">
        <v>140</v>
      </c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</row>
    <row r="30" customFormat="false" ht="18" hidden="false" customHeight="true" outlineLevel="0" collapsed="false">
      <c r="B30" s="38" t="s">
        <v>141</v>
      </c>
      <c r="C30" s="47" t="n">
        <f aca="false">C12-C27</f>
        <v>-6925</v>
      </c>
      <c r="D30" s="47" t="n">
        <f aca="false">D12-D27</f>
        <v>2650</v>
      </c>
      <c r="E30" s="47" t="n">
        <f aca="false">E12-E27</f>
        <v>12225</v>
      </c>
      <c r="F30" s="47" t="n">
        <f aca="false">F12-F27</f>
        <v>15087.5</v>
      </c>
      <c r="G30" s="47" t="n">
        <f aca="false">G12-G27</f>
        <v>14450</v>
      </c>
      <c r="H30" s="47" t="n">
        <f aca="false">H12-H27</f>
        <v>28812.5</v>
      </c>
      <c r="I30" s="47" t="n">
        <f aca="false">I12-I27</f>
        <v>36675</v>
      </c>
      <c r="J30" s="47" t="n">
        <f aca="false">J12-J27</f>
        <v>39537.5</v>
      </c>
      <c r="K30" s="47" t="n">
        <f aca="false">K12-K27</f>
        <v>42475</v>
      </c>
      <c r="L30" s="47" t="n">
        <f aca="false">L12-L27</f>
        <v>61200</v>
      </c>
      <c r="M30" s="47" t="n">
        <f aca="false">M12-M27</f>
        <v>90500</v>
      </c>
      <c r="N30" s="47" t="n">
        <f aca="false">N12-N27</f>
        <v>128800</v>
      </c>
    </row>
    <row r="31" customFormat="false" ht="18" hidden="false" customHeight="true" outlineLevel="0" collapsed="false">
      <c r="B31" s="38" t="s">
        <v>142</v>
      </c>
      <c r="C31" s="50" t="n">
        <f aca="false">IFERROR(C30/C12,"-")</f>
        <v>-0.723237597911227</v>
      </c>
      <c r="D31" s="50" t="n">
        <f aca="false">IFERROR(D30/D12,"-")</f>
        <v>0.138381201044386</v>
      </c>
      <c r="E31" s="50" t="n">
        <f aca="false">IFERROR(E30/E12,"-")</f>
        <v>0.425587467362924</v>
      </c>
      <c r="F31" s="50" t="n">
        <f aca="false">IFERROR(F30/F12,"-")</f>
        <v>0.350159559036844</v>
      </c>
      <c r="G31" s="50" t="n">
        <f aca="false">IFERROR(G30/G12,"-")</f>
        <v>0.251523063533507</v>
      </c>
      <c r="H31" s="50" t="n">
        <f aca="false">IFERROR(H30/H12,"-")</f>
        <v>0.401218450826806</v>
      </c>
      <c r="I31" s="50" t="n">
        <f aca="false">IFERROR(I30/I12,"-")</f>
        <v>0.425587467362924</v>
      </c>
      <c r="J31" s="50" t="n">
        <f aca="false">IFERROR(J30/J12,"-")</f>
        <v>0.393261220937461</v>
      </c>
      <c r="K31" s="50" t="n">
        <f aca="false">IFERROR(K30/K12,"-")</f>
        <v>0.341233179353284</v>
      </c>
      <c r="L31" s="50" t="n">
        <f aca="false">IFERROR(L30/L12,"-")</f>
        <v>0.399477806788512</v>
      </c>
      <c r="M31" s="50" t="n">
        <f aca="false">IFERROR(M30/M12,"-")</f>
        <v>0.472584856396867</v>
      </c>
      <c r="N31" s="50" t="n">
        <f aca="false">IFERROR(N30/N12,"-")</f>
        <v>0.560487380330722</v>
      </c>
    </row>
    <row r="33" customFormat="false" ht="30" hidden="false" customHeight="true" outlineLevel="0" collapsed="false">
      <c r="B33" s="51" t="s">
        <v>143</v>
      </c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</row>
  </sheetData>
  <mergeCells count="6">
    <mergeCell ref="B2:N2"/>
    <mergeCell ref="B5:N5"/>
    <mergeCell ref="B10:N10"/>
    <mergeCell ref="B16:N16"/>
    <mergeCell ref="B29:N29"/>
    <mergeCell ref="B33:N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2026-04-17T07:54:26Z</dcterms:created>
  <dc:creator>openpyxl</dc:creator>
  <dc:description/>
  <dc:language>en-US</dc:language>
  <cp:lastModifiedBy/>
  <dcterms:modified xsi:type="dcterms:W3CDTF">2026-04-17T07:54:26Z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