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ping Intake" sheetId="1" state="visible" r:id="rId3"/>
    <sheet name="SCOPED Library" sheetId="2" state="visible" r:id="rId4"/>
    <sheet name="Multiplier Table" sheetId="3" state="visible" r:id="rId5"/>
    <sheet name="Instruc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<sst xmlns="http://schemas.openxmlformats.org/spreadsheetml/2006/main" count="358" uniqueCount="248">
  <si>
    <t xml:space="preserve">GritFuel  ·  Scoping Configurator</t>
  </si>
  <si>
    <t xml:space="preserve">Use this form during client intake to determine credit estimates for variable-scope items.</t>
  </si>
  <si>
    <t xml:space="preserve">  CLIENT INFORMATION</t>
  </si>
  <si>
    <t xml:space="preserve">Client Name</t>
  </si>
  <si>
    <t xml:space="preserve">Enter client or prospect name</t>
  </si>
  <si>
    <t xml:space="preserve">Date</t>
  </si>
  <si>
    <t xml:space="preserve">DD/MM/YYYY</t>
  </si>
  <si>
    <t xml:space="preserve">Strategist</t>
  </si>
  <si>
    <t xml:space="preserve">Enter name</t>
  </si>
  <si>
    <t xml:space="preserve">  STEP 1  —  SELECT SCOPED ITEM</t>
  </si>
  <si>
    <t xml:space="preserve">Select Item</t>
  </si>
  <si>
    <t xml:space="preserve">← Select from dropdown</t>
  </si>
  <si>
    <t xml:space="preserve">Category</t>
  </si>
  <si>
    <t xml:space="preserve">Delivery Partner</t>
  </si>
  <si>
    <t xml:space="preserve">Description</t>
  </si>
  <si>
    <t xml:space="preserve">Key Variables</t>
  </si>
  <si>
    <t xml:space="preserve">  STEP 2  —  SET SCOPE VARIABLES</t>
  </si>
  <si>
    <t xml:space="preserve">Variable</t>
  </si>
  <si>
    <t xml:space="preserve">Selection</t>
  </si>
  <si>
    <t xml:space="preserve">Multiplier</t>
  </si>
  <si>
    <t xml:space="preserve">Notes</t>
  </si>
  <si>
    <t xml:space="preserve">Company Size</t>
  </si>
  <si>
    <t xml:space="preserve">Startup   (&lt;10 employees)</t>
  </si>
  <si>
    <t xml:space="preserve">How large is the client? Larger = more stakeholders, more complexity.</t>
  </si>
  <si>
    <t xml:space="preserve">Industry Complexity</t>
  </si>
  <si>
    <t xml:space="preserve">Standard</t>
  </si>
  <si>
    <t xml:space="preserve">Regulated industries (fintech, health, legal) require extra care and compliance review.</t>
  </si>
  <si>
    <t xml:space="preserve">Deliverable Depth</t>
  </si>
  <si>
    <t xml:space="preserve">Lite = MVP output; Comprehensive = full research, multiple drafts, exec summary.</t>
  </si>
  <si>
    <t xml:space="preserve">Revision Rounds</t>
  </si>
  <si>
    <t xml:space="preserve">2 rounds</t>
  </si>
  <si>
    <t xml:space="preserve">Each additional round above standard (2) adds time and effort.</t>
  </si>
  <si>
    <t xml:space="preserve">Timeline</t>
  </si>
  <si>
    <t xml:space="preserve">Accelerated delivery (rush) adds 25% — confirm with client before committing.</t>
  </si>
  <si>
    <t xml:space="preserve">  STEP 3  —  ITEM-SPECIFIC NOTES  (fill in manually)</t>
  </si>
  <si>
    <t xml:space="preserve">Key Variables for This Item</t>
  </si>
  <si>
    <t xml:space="preserve">Specific variable 1 (e.g. # competitors / # pages / # personas)</t>
  </si>
  <si>
    <t xml:space="preserve">Specific variable 2 (e.g. data period / platform / animation type)</t>
  </si>
  <si>
    <t xml:space="preserve">Specific variable 3 (e.g. # integrations / # markets / stand complexity)</t>
  </si>
  <si>
    <t xml:space="preserve">Additional context / special instructions</t>
  </si>
  <si>
    <t xml:space="preserve">  CREDIT ESTIMATE</t>
  </si>
  <si>
    <t xml:space="preserve">Scenario</t>
  </si>
  <si>
    <t xml:space="preserve">Credits</t>
  </si>
  <si>
    <t xml:space="preserve">EUR Value</t>
  </si>
  <si>
    <t xml:space="preserve">Low (floor)</t>
  </si>
  <si>
    <t xml:space="preserve">Minimum scope — lite deliverable, single market, small team</t>
  </si>
  <si>
    <t xml:space="preserve">Recommended</t>
  </si>
  <si>
    <t xml:space="preserve">Based on your selections above — adjust as needed</t>
  </si>
  <si>
    <t xml:space="preserve">High (ceiling)</t>
  </si>
  <si>
    <t xml:space="preserve">Maximum scope — comprehensive, complex, accelerated</t>
  </si>
  <si>
    <t xml:space="preserve">💡  1 credit = EUR 25 output value  ·  Paid media ad spend NOT included in credits — billed separately  ·  Final credits agreed with client before playbook activation</t>
  </si>
  <si>
    <t xml:space="preserve">GritFuel  ·  SCOPED Item Library  (38 Variable-Scope Services)</t>
  </si>
  <si>
    <t xml:space="preserve">Service Name</t>
  </si>
  <si>
    <t xml:space="preserve">Partner</t>
  </si>
  <si>
    <t xml:space="preserve">Low Cr</t>
  </si>
  <si>
    <t xml:space="preserve">Mid Cr</t>
  </si>
  <si>
    <t xml:space="preserve">High Cr</t>
  </si>
  <si>
    <t xml:space="preserve">Full Brand Audit</t>
  </si>
  <si>
    <t xml:space="preserve">Discovery &amp; Audit</t>
  </si>
  <si>
    <t xml:space="preserve">GritFuel / .frank</t>
  </si>
  <si>
    <t xml:space="preserve">Comprehensive audit of brand positioning, messaging, visual identity, and competitive standing.</t>
  </si>
  <si>
    <t xml:space="preserve">Company size; # competitors; # channels audited; Industry complexity; Deliverable depth</t>
  </si>
  <si>
    <t xml:space="preserve">Competitive Landscape Audit</t>
  </si>
  <si>
    <t xml:space="preserve">Deep competitive mapping across 3–10+ competitors with positioning, messaging, and channel analysis.</t>
  </si>
  <si>
    <t xml:space="preserve"># competitors (3/5/8/10+); Analysis depth; Industry complexity</t>
  </si>
  <si>
    <t xml:space="preserve">Channel Performance Audit</t>
  </si>
  <si>
    <t xml:space="preserve">Bluegyfu</t>
  </si>
  <si>
    <t xml:space="preserve">Full performance review of active marketing channels — paid, organic, email, social.</t>
  </si>
  <si>
    <t xml:space="preserve"># channels; Data period (3m/6m/12m); Data volume; Depth</t>
  </si>
  <si>
    <t xml:space="preserve">Content Audit &amp; Gap Analysis</t>
  </si>
  <si>
    <t xml:space="preserve">GritFuel</t>
  </si>
  <si>
    <t xml:space="preserve">Audit of existing content library; gap mapping against buyer journey and SEO priorities.</t>
  </si>
  <si>
    <t xml:space="preserve"># content pieces; # channels; Gap analysis depth</t>
  </si>
  <si>
    <t xml:space="preserve">SEO Technical Audit</t>
  </si>
  <si>
    <t xml:space="preserve">Technical SEO crawl and analysis; on-page, off-page, and Core Web Vitals review.</t>
  </si>
  <si>
    <t xml:space="preserve">Site size (# pages); Technical complexity; Backlink analysis?; Depth</t>
  </si>
  <si>
    <t xml:space="preserve">CRO Audit</t>
  </si>
  <si>
    <t xml:space="preserve">Conversion rate optimisation audit — funnel mapping, heatmap review, UX friction points.</t>
  </si>
  <si>
    <t xml:space="preserve"># pages/flows; Traffic volume; Analytics access?; Depth</t>
  </si>
  <si>
    <t xml:space="preserve">Paid Media Audit</t>
  </si>
  <si>
    <t xml:space="preserve">Review of paid media accounts (Meta, Google, LinkedIn) — performance, structure, creative.</t>
  </si>
  <si>
    <t xml:space="preserve"># platforms; Spend volume; Data period; Depth</t>
  </si>
  <si>
    <t xml:space="preserve">Market Research (Custom Survey)</t>
  </si>
  <si>
    <t xml:space="preserve">Custom market research design, survey build, distribution, and analysis report.</t>
  </si>
  <si>
    <t xml:space="preserve"># respondents; # questions; Distribution method; Analysis depth</t>
  </si>
  <si>
    <t xml:space="preserve">Customer Journey Mapping</t>
  </si>
  <si>
    <t xml:space="preserve">End-to-end journey mapping across personas and touchpoints with friction and opportunity analysis.</t>
  </si>
  <si>
    <t xml:space="preserve"># personas; # touchpoints; Research basis (existing data vs. new); Depth</t>
  </si>
  <si>
    <t xml:space="preserve">Persona Development</t>
  </si>
  <si>
    <t xml:space="preserve">Research-backed persona development with behavioural, psychographic, and demographic profiles.</t>
  </si>
  <si>
    <t xml:space="preserve"># personas; Research basis (primary/secondary/existing); Industry complexity; Depth</t>
  </si>
  <si>
    <t xml:space="preserve">Logo Design (Full)</t>
  </si>
  <si>
    <t xml:space="preserve">Brand &amp; Identity</t>
  </si>
  <si>
    <t xml:space="preserve">.frank</t>
  </si>
  <si>
    <t xml:space="preserve">Full logo design process: discovery, concept exploration, refinement, and final delivery.</t>
  </si>
  <si>
    <t xml:space="preserve"># initial concepts; Usage contexts (digital/print/all media); Revision rounds</t>
  </si>
  <si>
    <t xml:space="preserve">Full Brand Identity System</t>
  </si>
  <si>
    <t xml:space="preserve">Complete visual identity: logo, colour, typography, iconography, motion, brand guidelines.</t>
  </si>
  <si>
    <t xml:space="preserve"># identity elements; Usage contexts; Applications (digital/print/OOH); Revision rounds</t>
  </si>
  <si>
    <t xml:space="preserve">Brand Naming</t>
  </si>
  <si>
    <t xml:space="preserve">Strategic brand or product naming: brief, exploration, shortlisting, trademark check, rationale.</t>
  </si>
  <si>
    <t xml:space="preserve"># name options delivered; Trademark check included?; Industry complexity</t>
  </si>
  <si>
    <t xml:space="preserve">Website Build (5+ pages)</t>
  </si>
  <si>
    <t xml:space="preserve">Website &amp; Digital</t>
  </si>
  <si>
    <t xml:space="preserve">Multi-page website design and build — beyond the standard 5-page fixed scope.</t>
  </si>
  <si>
    <t xml:space="preserve"># pages; CMS platform; # integrations; E-commerce?; Custom animations?</t>
  </si>
  <si>
    <t xml:space="preserve">Landing Page System (Multi)</t>
  </si>
  <si>
    <t xml:space="preserve">Multiple landing pages for different campaigns, segments, or geographies.</t>
  </si>
  <si>
    <t xml:space="preserve"># landing pages; # A/B variants; # integrations; Design complexity</t>
  </si>
  <si>
    <t xml:space="preserve">App / Product UX Design</t>
  </si>
  <si>
    <t xml:space="preserve">Full UX/UI design for digital product or app — flows, wireframes, high-fidelity screens.</t>
  </si>
  <si>
    <t xml:space="preserve"># screens/flows; Prototype required?; Complexity; Revision rounds</t>
  </si>
  <si>
    <t xml:space="preserve">GTM Strategy</t>
  </si>
  <si>
    <t xml:space="preserve">Strategy</t>
  </si>
  <si>
    <t xml:space="preserve">Go-to-market strategy for new product, market, or segment — channels, messaging, rollout plan.</t>
  </si>
  <si>
    <t xml:space="preserve"># target markets; # channels; Research required?; Depth</t>
  </si>
  <si>
    <t xml:space="preserve">Pricing Strategy</t>
  </si>
  <si>
    <t xml:space="preserve">Pricing model design and competitive benchmarking across customer segments.</t>
  </si>
  <si>
    <t xml:space="preserve"># pricing segments; Competitive research required?; Industry complexity; Depth</t>
  </si>
  <si>
    <t xml:space="preserve">CRM Setup</t>
  </si>
  <si>
    <t xml:space="preserve">Tech &amp; Operations</t>
  </si>
  <si>
    <t xml:space="preserve">CRM configuration, pipeline design, and workflow automation setup.</t>
  </si>
  <si>
    <t xml:space="preserve">CRM platform; # users; # custom objects; # integrations</t>
  </si>
  <si>
    <t xml:space="preserve">CRM Migration</t>
  </si>
  <si>
    <t xml:space="preserve">Data migration from existing CRM — cleaning, mapping, transfer, and validation.</t>
  </si>
  <si>
    <t xml:space="preserve"># contacts/records; # objects; Data quality (clean/messy); Source platform</t>
  </si>
  <si>
    <t xml:space="preserve">Chatbot Setup</t>
  </si>
  <si>
    <t xml:space="preserve">Conversational chatbot design, flow build, and platform integration.</t>
  </si>
  <si>
    <t xml:space="preserve"># conversation flows; # integrations; AI vs. rule-based; Complexity</t>
  </si>
  <si>
    <t xml:space="preserve">Predictive Analytics Setup</t>
  </si>
  <si>
    <t xml:space="preserve">Predictive model build — churn, LTV, propensity, or demand forecasting.</t>
  </si>
  <si>
    <t xml:space="preserve"># data sources; Model type; Data quality; Integration complexity</t>
  </si>
  <si>
    <t xml:space="preserve">Loyalty Programme Setup</t>
  </si>
  <si>
    <t xml:space="preserve">Loyalty and rewards programme design, tech setup, and integration.</t>
  </si>
  <si>
    <t xml:space="preserve"># tier levels; Tech platform; Integrations; Programme complexity</t>
  </si>
  <si>
    <t xml:space="preserve">Data Infrastructure Setup</t>
  </si>
  <si>
    <t xml:space="preserve">Data pipeline, warehouse, or analytics stack setup.</t>
  </si>
  <si>
    <t xml:space="preserve"># data sources; Stack complexity; # integrations; Data volume</t>
  </si>
  <si>
    <t xml:space="preserve">Brand Video (60s)</t>
  </si>
  <si>
    <t xml:space="preserve">Content &amp; Creative</t>
  </si>
  <si>
    <t xml:space="preserve">60-second brand or hero video — script, production, edit, and delivery.</t>
  </si>
  <si>
    <t xml:space="preserve">Animation vs. live shoot; # revision rounds; VO required?; Music licensing</t>
  </si>
  <si>
    <t xml:space="preserve">Campaign Video (30s)</t>
  </si>
  <si>
    <t xml:space="preserve">30-second campaign video for paid or organic channels.</t>
  </si>
  <si>
    <t xml:space="preserve">Animation vs. live shoot; # variants; Revision rounds</t>
  </si>
  <si>
    <t xml:space="preserve">Explainer Video</t>
  </si>
  <si>
    <t xml:space="preserve">Animated or live explainer video — product, service, or concept.</t>
  </si>
  <si>
    <t xml:space="preserve">Duration (60s/90s/2min+); Animation complexity; Script required?; Revision rounds</t>
  </si>
  <si>
    <t xml:space="preserve">Whitepaper / Research Report</t>
  </si>
  <si>
    <t xml:space="preserve">Long-form research or thought leadership piece — research, writing, and designed layout.</t>
  </si>
  <si>
    <t xml:space="preserve"># pages; Research depth; Design level; Infographics included?</t>
  </si>
  <si>
    <t xml:space="preserve">Brand Playbook / Guidelines Doc</t>
  </si>
  <si>
    <t xml:space="preserve">Comprehensive brand guidelines — voice, visual, usage rules, channel specs, and examples.</t>
  </si>
  <si>
    <t xml:space="preserve">Scope (voice / visual / full); # channels covered; Design depth</t>
  </si>
  <si>
    <t xml:space="preserve">Performance Creative System</t>
  </si>
  <si>
    <t xml:space="preserve">Systematic creative development for paid media — multiple formats and variants.</t>
  </si>
  <si>
    <t xml:space="preserve"># formats; # variants per format; # channels; Iteration rounds</t>
  </si>
  <si>
    <t xml:space="preserve">PR Campaign Strategy</t>
  </si>
  <si>
    <t xml:space="preserve">PR &amp; Influence</t>
  </si>
  <si>
    <t xml:space="preserve">Full PR campaign strategy including media mapping, pitch angles, and messaging.</t>
  </si>
  <si>
    <t xml:space="preserve"># media targets; Duration; # markets; Outreach execution included?</t>
  </si>
  <si>
    <t xml:space="preserve">Influencer Strategy</t>
  </si>
  <si>
    <t xml:space="preserve">Influencer marketing strategy — tier mapping, outreach approach, measurement framework.</t>
  </si>
  <si>
    <t xml:space="preserve"># influencer tiers; # markets; Vetting/shortlisting included?; Depth</t>
  </si>
  <si>
    <t xml:space="preserve">Investor Relations Pack</t>
  </si>
  <si>
    <t xml:space="preserve">Investor &amp; Corporate</t>
  </si>
  <si>
    <t xml:space="preserve">Investor-ready materials — deck, one-pager, financials narrative, and supporting docs.</t>
  </si>
  <si>
    <t xml:space="preserve">Funding stage; # materials/documents; Financial modelling required?; Depth</t>
  </si>
  <si>
    <t xml:space="preserve">Multi-Market Content Localisation</t>
  </si>
  <si>
    <t xml:space="preserve">Multi-Market</t>
  </si>
  <si>
    <t xml:space="preserve">Localisation of existing content for new markets — translation, cultural adaptation, and QA.</t>
  </si>
  <si>
    <t xml:space="preserve"># markets/languages; # assets; Adaptation depth (translation vs. full localisation)</t>
  </si>
  <si>
    <t xml:space="preserve">Brand Activation Event</t>
  </si>
  <si>
    <t xml:space="preserve">Events (via BFL)</t>
  </si>
  <si>
    <t xml:space="preserve">BFL</t>
  </si>
  <si>
    <t xml:space="preserve">Physical or hybrid brand activation — concept, production, and execution.</t>
  </si>
  <si>
    <t xml:space="preserve"># attendees; # locations; Format (physical/hybrid); Production complexity</t>
  </si>
  <si>
    <t xml:space="preserve">Product Launch Event</t>
  </si>
  <si>
    <t xml:space="preserve">Full product launch event — strategy, production, and execution.</t>
  </si>
  <si>
    <t xml:space="preserve"># attendees; Format; # markets/cities; Media involvement</t>
  </si>
  <si>
    <t xml:space="preserve">Conference / Exhibition</t>
  </si>
  <si>
    <t xml:space="preserve">Conference presence or exhibition stand — concept, build, and activation.</t>
  </si>
  <si>
    <t xml:space="preserve"># days; # attendees; Stand complexity; # events in series</t>
  </si>
  <si>
    <t xml:space="preserve">Experiential Marketing Campaign</t>
  </si>
  <si>
    <t xml:space="preserve">Multi-touchpoint experiential campaign design and execution.</t>
  </si>
  <si>
    <t xml:space="preserve"># activations; # markets; Duration; Production complexity</t>
  </si>
  <si>
    <t xml:space="preserve">GritFuel  ·  Scope Variable Multipliers</t>
  </si>
  <si>
    <t xml:space="preserve">Option</t>
  </si>
  <si>
    <t xml:space="preserve">When to apply</t>
  </si>
  <si>
    <t xml:space="preserve">Startup (&lt;10 employees)</t>
  </si>
  <si>
    <t xml:space="preserve">Small team, faster decisions, lower stakeholder count</t>
  </si>
  <si>
    <t xml:space="preserve">SMB (10–50 employees)</t>
  </si>
  <si>
    <t xml:space="preserve">Moderate complexity — some stakeholders, some process</t>
  </si>
  <si>
    <t xml:space="preserve">Scale-up (51–200 employees)</t>
  </si>
  <si>
    <t xml:space="preserve">Multiple stakeholders, structured process, more assets</t>
  </si>
  <si>
    <t xml:space="preserve">Enterprise (200+ employees)</t>
  </si>
  <si>
    <t xml:space="preserve">High complexity, multiple sign-offs, global scope possible</t>
  </si>
  <si>
    <t xml:space="preserve">Consumer, retail, hospitality, general B2B</t>
  </si>
  <si>
    <t xml:space="preserve">Technical / Niche</t>
  </si>
  <si>
    <t xml:space="preserve">SaaS, deep tech, specialist B2B — requires domain knowledge</t>
  </si>
  <si>
    <t xml:space="preserve">Regulated (fintech/health/legal)</t>
  </si>
  <si>
    <t xml:space="preserve">Strict compliance, legal review, additional care required</t>
  </si>
  <si>
    <t xml:space="preserve">Lite</t>
  </si>
  <si>
    <t xml:space="preserve">MVP / starter output — covers core need, limited iterations</t>
  </si>
  <si>
    <t xml:space="preserve">Full scope as described — baseline for all credit estimates</t>
  </si>
  <si>
    <t xml:space="preserve">Comprehensive</t>
  </si>
  <si>
    <t xml:space="preserve">Deep research, multiple drafts, exec summary, extended delivery</t>
  </si>
  <si>
    <t xml:space="preserve">1 round</t>
  </si>
  <si>
    <t xml:space="preserve">Client provides consolidated feedback once — efficient projects</t>
  </si>
  <si>
    <t xml:space="preserve">Standard — initial draft + one revision round</t>
  </si>
  <si>
    <t xml:space="preserve">3 rounds</t>
  </si>
  <si>
    <t xml:space="preserve">Additional review cycle required</t>
  </si>
  <si>
    <t xml:space="preserve">4+ rounds</t>
  </si>
  <si>
    <t xml:space="preserve">Multiple stakeholders or high complexity requiring extended iteration</t>
  </si>
  <si>
    <t xml:space="preserve">Normal delivery within standard SLA timeframes</t>
  </si>
  <si>
    <t xml:space="preserve">Accelerated (rush)</t>
  </si>
  <si>
    <t xml:space="preserve">Compressed delivery — prioritised resource allocation; confirm with client</t>
  </si>
  <si>
    <t xml:space="preserve">How to Use the Scoping Configurator</t>
  </si>
  <si>
    <t xml:space="preserve">PURPOSE</t>
  </si>
  <si>
    <t xml:space="preserve">This tool is used during client intake sessions to determine the correct credit range for any SCOPED item on the à la carte menu. SCOPED items cannot be priced at a fixed credit rate because their scope varies significantly. This configurator guides the conversation and produces a defensible credit estimate.</t>
  </si>
  <si>
    <t xml:space="preserve">STEP 1 — SELECT ITEM</t>
  </si>
  <si>
    <t xml:space="preserve">In the 'Scoping Intake' tab, enter client information, then select the SCOPED item from the dropdown in cell C10. The form will auto-populate the item's category, partner, description, and key variables to explore with the client.</t>
  </si>
  <si>
    <t xml:space="preserve">STEP 2 — SET VARIABLES</t>
  </si>
  <si>
    <t xml:space="preserve">Work through each of the 5 universal scope variables (Company Size, Industry Complexity, Deliverable Depth, Revision Rounds, Timeline) with the client. Select the appropriate option from each dropdown. Each selection automatically updates the multiplier, which feeds into the Recommended credit estimate.</t>
  </si>
  <si>
    <t xml:space="preserve">STEP 3 — ITEM-SPECIFIC NOTES</t>
  </si>
  <si>
    <t xml:space="preserve">Review the 'Key Variables for This Item' field — it shows the variables specific to the selected item (e.g. '# competitors' for audits, or '# pages' for website builds). Fill in the free-text fields below with the values gathered from the client. This is your intake record for the engagement.</t>
  </si>
  <si>
    <t xml:space="preserve">CREDIT ESTIMATE</t>
  </si>
  <si>
    <t xml:space="preserve">The estimate section shows three scenarios:</t>
  </si>
  <si>
    <t xml:space="preserve">  • LOW (floor) — minimum scope, lite deliverable, small team.</t>
  </si>
  <si>
    <t xml:space="preserve">  • RECOMMENDED — calculated from your variable selections × base mid credits.</t>
  </si>
  <si>
    <t xml:space="preserve">  • HIGH (ceiling) — maximum scope reference.</t>
  </si>
  <si>
    <t xml:space="preserve">The Recommended figure is your starting point. Use professional judgment to adjust up or down, then confirm with the client before committing to the monthly playbook.</t>
  </si>
  <si>
    <t xml:space="preserve">FORMULA</t>
  </si>
  <si>
    <t xml:space="preserve">Recommended Credits = Base Mid Credits × Company Size Multiplier × Industry Multiplier × Depth Multiplier × Revision Multiplier × Timeline Multiplier</t>
  </si>
  <si>
    <t xml:space="preserve">Example: A Full Brand Audit (base: 26cr) for a regulated scale-up needing comprehensive output with 3 rounds and standard timeline:</t>
  </si>
  <si>
    <t xml:space="preserve">26 × 1.50 × 1.35 × 1.50 × 1.15 × 1.00 = ~121 credits  (≈ EUR 3,025 output value)</t>
  </si>
  <si>
    <t xml:space="preserve">CREDIT VALUE</t>
  </si>
  <si>
    <t xml:space="preserve">1 credit = EUR 25 output value. GritFuel prices at 70% of European market rate. Paid media ad spend is NEVER included in credits — billed separately. Additional credits above the monthly allocation can be purchased by the client.</t>
  </si>
  <si>
    <t xml:space="preserve">PARTNER ROUTING</t>
  </si>
  <si>
    <t xml:space="preserve">.frank   —   All strategic, creative, and brand work</t>
  </si>
  <si>
    <t xml:space="preserve">Bluegyfu   —   All data, performance marketing, paid media, and tech builds</t>
  </si>
  <si>
    <t xml:space="preserve">GritFuel   —   Content, SEO, social media, PR, email, and general execution</t>
  </si>
  <si>
    <t xml:space="preserve">BFL   —   All events, activations, and experiential (managed via Brandformance Live)</t>
  </si>
  <si>
    <t xml:space="preserve">TIPS</t>
  </si>
  <si>
    <t xml:space="preserve">• Always gather the key variables before quoting — don't estimate blind.</t>
  </si>
  <si>
    <t xml:space="preserve">• For regulated industries, build in buffer: the Regulated multiplier (1.35×) may not capture legal review cycles.</t>
  </si>
  <si>
    <t xml:space="preserve">• Rush projects (1.25×) should always be confirmed with the delivery partner before committing to the client.</t>
  </si>
  <si>
    <t xml:space="preserve">• If the estimate falls outside a client's credit budget, discuss scope reduction before adjusting the multiplier downward.</t>
  </si>
</sst>
</file>

<file path=xl/styles.xml><?xml version="1.0" encoding="utf-8"?>
<styleSheet xmlns="http://schemas.openxmlformats.org/spreadsheetml/2006/main">
  <numFmts count="4">
    <numFmt numFmtId="164" formatCode="General"/>
    <numFmt numFmtId="165" formatCode="0.00\x"/>
    <numFmt numFmtId="166" formatCode="0"/>
    <numFmt numFmtId="167" formatCode="\€#,##0"/>
  </numFmts>
  <fonts count="36">
    <font>
      <sz val="11"/>
      <color theme="1"/>
      <name val="Calibri"/>
      <family val="2"/>
      <charset val="1"/>
    </font>
    <font>
      <sz val="10"/>
      <name val="Arial"/>
      <family val="0"/>
    </font>
    <font>
      <sz val="10"/>
      <name val="Arial"/>
      <family val="0"/>
    </font>
    <font>
      <sz val="10"/>
      <name val="Arial"/>
      <family val="0"/>
    </font>
    <font>
      <b val="true"/>
      <sz val="18"/>
      <color rgb="FFC8E000"/>
      <name val="Arial"/>
      <family val="0"/>
      <charset val="1"/>
    </font>
    <font>
      <i val="true"/>
      <sz val="9"/>
      <color rgb="FFAAAAAA"/>
      <name val="Arial"/>
      <family val="0"/>
      <charset val="1"/>
    </font>
    <font>
      <b val="true"/>
      <sz val="9"/>
      <color rgb="FFFFFFFF"/>
      <name val="Arial"/>
      <family val="0"/>
      <charset val="1"/>
    </font>
    <font>
      <b val="true"/>
      <sz val="10"/>
      <color rgb="FF2D2D2D"/>
      <name val="Arial"/>
      <family val="0"/>
      <charset val="1"/>
    </font>
    <font>
      <i val="true"/>
      <sz val="10"/>
      <color rgb="FFAAAAAA"/>
      <name val="Arial"/>
      <family val="0"/>
      <charset val="1"/>
    </font>
    <font>
      <i val="true"/>
      <sz val="10"/>
      <color rgb="FF856404"/>
      <name val="Arial"/>
      <family val="0"/>
      <charset val="1"/>
    </font>
    <font>
      <sz val="10"/>
      <color rgb="FF2D2D2D"/>
      <name val="Arial"/>
      <family val="0"/>
      <charset val="1"/>
    </font>
    <font>
      <b val="true"/>
      <sz val="10"/>
      <color rgb="FFFFFFFF"/>
      <name val="Arial"/>
      <family val="0"/>
      <charset val="1"/>
    </font>
    <font>
      <i val="true"/>
      <sz val="9"/>
      <color rgb="FF666666"/>
      <name val="Arial"/>
      <family val="0"/>
      <charset val="1"/>
    </font>
    <font>
      <i val="true"/>
      <sz val="10"/>
      <color rgb="FF1565C0"/>
      <name val="Arial"/>
      <family val="0"/>
      <charset val="1"/>
    </font>
    <font>
      <i val="true"/>
      <sz val="9"/>
      <color rgb="FF888888"/>
      <name val="Arial"/>
      <family val="0"/>
      <charset val="1"/>
    </font>
    <font>
      <b val="true"/>
      <sz val="13"/>
      <color rgb="FF2D2D2D"/>
      <name val="Arial"/>
      <family val="0"/>
      <charset val="1"/>
    </font>
    <font>
      <b val="true"/>
      <sz val="10"/>
      <color rgb="FF856404"/>
      <name val="Arial"/>
      <family val="0"/>
      <charset val="1"/>
    </font>
    <font>
      <b val="true"/>
      <sz val="13"/>
      <color rgb="FF856404"/>
      <name val="Arial"/>
      <family val="0"/>
      <charset val="1"/>
    </font>
    <font>
      <sz val="10"/>
      <color rgb="FF856404"/>
      <name val="Arial"/>
      <family val="0"/>
      <charset val="1"/>
    </font>
    <font>
      <i val="true"/>
      <sz val="9"/>
      <color rgb="FF856404"/>
      <name val="Arial"/>
      <family val="0"/>
      <charset val="1"/>
    </font>
    <font>
      <i val="true"/>
      <sz val="8"/>
      <color rgb="FF888888"/>
      <name val="Arial"/>
      <family val="0"/>
      <charset val="1"/>
    </font>
    <font>
      <b val="true"/>
      <sz val="14"/>
      <color rgb="FFC8E000"/>
      <name val="Arial"/>
      <family val="0"/>
      <charset val="1"/>
    </font>
    <font>
      <b val="true"/>
      <sz val="10"/>
      <color rgb="FF4A148C"/>
      <name val="Arial"/>
      <family val="0"/>
      <charset val="1"/>
    </font>
    <font>
      <sz val="10"/>
      <color rgb="FF4A148C"/>
      <name val="Arial"/>
      <family val="0"/>
      <charset val="1"/>
    </font>
    <font>
      <sz val="9"/>
      <color rgb="FF2D2D2D"/>
      <name val="Arial"/>
      <family val="0"/>
      <charset val="1"/>
    </font>
    <font>
      <b val="true"/>
      <sz val="10"/>
      <color rgb="FF006064"/>
      <name val="Arial"/>
      <family val="0"/>
      <charset val="1"/>
    </font>
    <font>
      <sz val="10"/>
      <color rgb="FF006064"/>
      <name val="Arial"/>
      <family val="0"/>
      <charset val="1"/>
    </font>
    <font>
      <b val="true"/>
      <sz val="10"/>
      <color rgb="FF1B5E20"/>
      <name val="Arial"/>
      <family val="0"/>
      <charset val="1"/>
    </font>
    <font>
      <sz val="10"/>
      <color rgb="FF1B5E20"/>
      <name val="Arial"/>
      <family val="0"/>
      <charset val="1"/>
    </font>
    <font>
      <b val="true"/>
      <sz val="10"/>
      <color rgb="FF1565C0"/>
      <name val="Arial"/>
      <family val="0"/>
      <charset val="1"/>
    </font>
    <font>
      <sz val="10"/>
      <color rgb="FF1565C0"/>
      <name val="Arial"/>
      <family val="0"/>
      <charset val="1"/>
    </font>
    <font>
      <b val="true"/>
      <sz val="10"/>
      <color rgb="FF6A1B9A"/>
      <name val="Arial"/>
      <family val="0"/>
      <charset val="1"/>
    </font>
    <font>
      <sz val="10"/>
      <color rgb="FF6A1B9A"/>
      <name val="Arial"/>
      <family val="0"/>
      <charset val="1"/>
    </font>
    <font>
      <b val="true"/>
      <sz val="11"/>
      <color rgb="FFFFFFFF"/>
      <name val="Arial"/>
      <family val="0"/>
      <charset val="1"/>
    </font>
    <font>
      <i val="true"/>
      <sz val="9"/>
      <color rgb="FF555555"/>
      <name val="Arial"/>
      <family val="0"/>
      <charset val="1"/>
    </font>
    <font>
      <b val="true"/>
      <sz val="16"/>
      <color rgb="FFC8E000"/>
      <name val="Arial"/>
      <family val="0"/>
      <charset val="1"/>
    </font>
  </fonts>
  <fills count="12">
    <fill>
      <patternFill patternType="none"/>
    </fill>
    <fill>
      <patternFill patternType="gray125"/>
    </fill>
    <fill>
      <patternFill patternType="solid">
        <fgColor rgb="FF2D2D2D"/>
        <bgColor rgb="FF3D3D3D"/>
      </patternFill>
    </fill>
    <fill>
      <patternFill patternType="solid">
        <fgColor rgb="FF3D3D3D"/>
        <bgColor rgb="FF2D2D2D"/>
      </patternFill>
    </fill>
    <fill>
      <patternFill patternType="solid">
        <fgColor rgb="FFF5F5F5"/>
        <bgColor rgb="FFE8F5E9"/>
      </patternFill>
    </fill>
    <fill>
      <patternFill patternType="solid">
        <fgColor rgb="FFFFF3CD"/>
        <bgColor rgb="FFF5F5F5"/>
      </patternFill>
    </fill>
    <fill>
      <patternFill patternType="solid">
        <fgColor rgb="FFFFFFFF"/>
        <bgColor rgb="FFF5F5F5"/>
      </patternFill>
    </fill>
    <fill>
      <patternFill patternType="solid">
        <fgColor rgb="FFE8F5E9"/>
        <bgColor rgb="FFE3F2FD"/>
      </patternFill>
    </fill>
    <fill>
      <patternFill patternType="solid">
        <fgColor rgb="FFE3F2FD"/>
        <bgColor rgb="FFE8F5E9"/>
      </patternFill>
    </fill>
    <fill>
      <patternFill patternType="solid">
        <fgColor rgb="FFC8E000"/>
        <bgColor rgb="FFFFCC00"/>
      </patternFill>
    </fill>
    <fill>
      <patternFill patternType="solid">
        <fgColor rgb="FFF3E5F5"/>
        <bgColor rgb="FFEDE7F6"/>
      </patternFill>
    </fill>
    <fill>
      <patternFill patternType="solid">
        <fgColor rgb="FFEDE7F6"/>
        <bgColor rgb="FFF3E5F5"/>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6" fillId="2" borderId="2"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5" fontId="10" fillId="7"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7" fillId="9" borderId="2" xfId="0" applyFont="true" applyBorder="true" applyAlignment="true" applyProtection="false">
      <alignment horizontal="left" vertical="center" textRotation="0" wrapText="false" indent="0" shrinkToFit="false"/>
      <protection locked="true" hidden="false"/>
    </xf>
    <xf numFmtId="166" fontId="15" fillId="4" borderId="1" xfId="0" applyFont="true" applyBorder="true" applyAlignment="true" applyProtection="false">
      <alignment horizontal="center" vertical="center" textRotation="0" wrapText="true" indent="0" shrinkToFit="false"/>
      <protection locked="true" hidden="false"/>
    </xf>
    <xf numFmtId="167" fontId="10"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6" fontId="15" fillId="9" borderId="1" xfId="0" applyFont="true" applyBorder="true" applyAlignment="true" applyProtection="false">
      <alignment horizontal="center" vertical="center" textRotation="0" wrapText="true" indent="0" shrinkToFit="false"/>
      <protection locked="true" hidden="false"/>
    </xf>
    <xf numFmtId="167" fontId="7" fillId="9"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6" fontId="17" fillId="5" borderId="1" xfId="0" applyFont="true" applyBorder="true" applyAlignment="true" applyProtection="false">
      <alignment horizontal="center" vertical="center" textRotation="0" wrapText="true" indent="0" shrinkToFit="false"/>
      <protection locked="true" hidden="false"/>
    </xf>
    <xf numFmtId="167" fontId="18" fillId="5" borderId="1" xfId="0" applyFont="true" applyBorder="true" applyAlignment="true" applyProtection="false">
      <alignment horizontal="center" vertical="center" textRotation="0" wrapText="true" indent="0" shrinkToFit="false"/>
      <protection locked="true" hidden="false"/>
    </xf>
    <xf numFmtId="164" fontId="19" fillId="5" borderId="1" xfId="0" applyFont="true" applyBorder="true" applyAlignment="true" applyProtection="false">
      <alignment horizontal="left" vertical="center" textRotation="0" wrapText="true" indent="0" shrinkToFit="false"/>
      <protection locked="true" hidden="false"/>
    </xf>
    <xf numFmtId="164" fontId="20" fillId="4" borderId="2" xfId="0" applyFont="true" applyBorder="true" applyAlignment="true" applyProtection="false">
      <alignment horizontal="center" vertical="center" textRotation="0" wrapText="false" indent="0" shrinkToFit="false"/>
      <protection locked="true" hidden="false"/>
    </xf>
    <xf numFmtId="164" fontId="21" fillId="2" borderId="1" xfId="0" applyFont="true" applyBorder="true" applyAlignment="true" applyProtection="false">
      <alignment horizontal="left"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22" fillId="10" borderId="1" xfId="0" applyFont="true" applyBorder="true" applyAlignment="true" applyProtection="false">
      <alignment horizontal="left" vertical="center" textRotation="0" wrapText="true" indent="0" shrinkToFit="false"/>
      <protection locked="true" hidden="false"/>
    </xf>
    <xf numFmtId="164" fontId="23" fillId="10" borderId="1" xfId="0" applyFont="true" applyBorder="true" applyAlignment="true" applyProtection="false">
      <alignment horizontal="left" vertical="center" textRotation="0" wrapText="tru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xf numFmtId="164" fontId="24" fillId="10" borderId="1" xfId="0" applyFont="true" applyBorder="true" applyAlignment="true" applyProtection="false">
      <alignment horizontal="left" vertical="center" textRotation="0" wrapText="true" indent="0" shrinkToFit="false"/>
      <protection locked="true" hidden="false"/>
    </xf>
    <xf numFmtId="166" fontId="24" fillId="10" borderId="1" xfId="0" applyFont="true" applyBorder="true" applyAlignment="true" applyProtection="false">
      <alignment horizontal="center" vertical="center" textRotation="0" wrapText="true" indent="0" shrinkToFit="false"/>
      <protection locked="true" hidden="false"/>
    </xf>
    <xf numFmtId="166" fontId="10" fillId="10" borderId="1" xfId="0" applyFont="true" applyBorder="true" applyAlignment="true" applyProtection="false">
      <alignment horizontal="center" vertical="center" textRotation="0" wrapText="true" indent="0" shrinkToFit="false"/>
      <protection locked="true" hidden="false"/>
    </xf>
    <xf numFmtId="164" fontId="25" fillId="8" borderId="1" xfId="0" applyFont="true" applyBorder="true" applyAlignment="true" applyProtection="false">
      <alignment horizontal="left" vertical="center" textRotation="0" wrapText="true" indent="0" shrinkToFit="false"/>
      <protection locked="true" hidden="false"/>
    </xf>
    <xf numFmtId="164" fontId="26" fillId="8" borderId="1" xfId="0" applyFont="true" applyBorder="true" applyAlignment="true" applyProtection="false">
      <alignment horizontal="left" vertical="center" textRotation="0" wrapText="tru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4" fontId="24" fillId="8" borderId="1" xfId="0" applyFont="true" applyBorder="true" applyAlignment="true" applyProtection="false">
      <alignment horizontal="left" vertical="center" textRotation="0" wrapText="true" indent="0" shrinkToFit="false"/>
      <protection locked="true" hidden="false"/>
    </xf>
    <xf numFmtId="166" fontId="24" fillId="8" borderId="1" xfId="0" applyFont="true" applyBorder="true" applyAlignment="true" applyProtection="false">
      <alignment horizontal="center" vertical="center" textRotation="0" wrapText="true" indent="0" shrinkToFit="false"/>
      <protection locked="true" hidden="false"/>
    </xf>
    <xf numFmtId="166" fontId="10" fillId="8" borderId="1" xfId="0" applyFont="true" applyBorder="true" applyAlignment="true" applyProtection="false">
      <alignment horizontal="center" vertical="center" textRotation="0" wrapText="true" indent="0" shrinkToFit="false"/>
      <protection locked="true" hidden="false"/>
    </xf>
    <xf numFmtId="164" fontId="27" fillId="7" borderId="1" xfId="0" applyFont="true" applyBorder="true" applyAlignment="true" applyProtection="false">
      <alignment horizontal="left" vertical="center" textRotation="0" wrapText="true" indent="0" shrinkToFit="false"/>
      <protection locked="true" hidden="false"/>
    </xf>
    <xf numFmtId="164" fontId="28" fillId="7"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24" fillId="7" borderId="1" xfId="0" applyFont="true" applyBorder="true" applyAlignment="true" applyProtection="false">
      <alignment horizontal="left" vertical="center" textRotation="0" wrapText="true" indent="0" shrinkToFit="false"/>
      <protection locked="true" hidden="false"/>
    </xf>
    <xf numFmtId="166" fontId="24" fillId="7" borderId="1" xfId="0" applyFont="true" applyBorder="true" applyAlignment="true" applyProtection="false">
      <alignment horizontal="center" vertical="center" textRotation="0" wrapText="true" indent="0" shrinkToFit="false"/>
      <protection locked="true" hidden="false"/>
    </xf>
    <xf numFmtId="166" fontId="10" fillId="7" borderId="1" xfId="0" applyFont="true" applyBorder="true" applyAlignment="true" applyProtection="false">
      <alignment horizontal="center" vertical="center" textRotation="0" wrapText="true" indent="0" shrinkToFit="false"/>
      <protection locked="true" hidden="false"/>
    </xf>
    <xf numFmtId="164" fontId="29" fillId="8" borderId="1" xfId="0" applyFont="true" applyBorder="true" applyAlignment="true" applyProtection="false">
      <alignment horizontal="left" vertical="center" textRotation="0" wrapText="true" indent="0" shrinkToFit="false"/>
      <protection locked="true" hidden="false"/>
    </xf>
    <xf numFmtId="164" fontId="30" fillId="8" borderId="1" xfId="0" applyFont="true" applyBorder="true" applyAlignment="true" applyProtection="false">
      <alignment horizontal="left" vertical="center" textRotation="0" wrapText="true" indent="0" shrinkToFit="false"/>
      <protection locked="true" hidden="false"/>
    </xf>
    <xf numFmtId="164" fontId="31" fillId="11" borderId="1" xfId="0" applyFont="true" applyBorder="true" applyAlignment="true" applyProtection="false">
      <alignment horizontal="left" vertical="center" textRotation="0" wrapText="true" indent="0" shrinkToFit="false"/>
      <protection locked="true" hidden="false"/>
    </xf>
    <xf numFmtId="164" fontId="32" fillId="11" borderId="1" xfId="0" applyFont="true" applyBorder="true" applyAlignment="true" applyProtection="false">
      <alignment horizontal="left"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4" fontId="24" fillId="11" borderId="1" xfId="0" applyFont="true" applyBorder="true" applyAlignment="true" applyProtection="false">
      <alignment horizontal="left" vertical="center" textRotation="0" wrapText="true" indent="0" shrinkToFit="false"/>
      <protection locked="true" hidden="false"/>
    </xf>
    <xf numFmtId="166" fontId="24" fillId="11" borderId="1" xfId="0" applyFont="true" applyBorder="true" applyAlignment="true" applyProtection="false">
      <alignment horizontal="center" vertical="center" textRotation="0" wrapText="true" indent="0" shrinkToFit="false"/>
      <protection locked="true" hidden="false"/>
    </xf>
    <xf numFmtId="166" fontId="10" fillId="11" borderId="1" xfId="0" applyFont="true" applyBorder="true" applyAlignment="true" applyProtection="false">
      <alignment horizontal="center" vertical="center" textRotation="0" wrapText="true" indent="0" shrinkToFit="false"/>
      <protection locked="true" hidden="false"/>
    </xf>
    <xf numFmtId="164" fontId="33" fillId="2"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5" fontId="7" fillId="9" borderId="1" xfId="0" applyFont="true" applyBorder="true" applyAlignment="true" applyProtection="false">
      <alignment horizontal="center" vertical="center" textRotation="0" wrapText="true" indent="0" shrinkToFit="false"/>
      <protection locked="true" hidden="false"/>
    </xf>
    <xf numFmtId="164" fontId="34" fillId="0" borderId="1" xfId="0" applyFont="true" applyBorder="true" applyAlignment="true" applyProtection="false">
      <alignment horizontal="left" vertical="center" textRotation="0" wrapText="tru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5" fontId="16" fillId="5" borderId="1" xfId="0" applyFont="true" applyBorder="true" applyAlignment="true" applyProtection="false">
      <alignment horizontal="center" vertical="center" textRotation="0" wrapText="true" indent="0" shrinkToFit="false"/>
      <protection locked="true" hidden="false"/>
    </xf>
    <xf numFmtId="165" fontId="7" fillId="7" borderId="1" xfId="0" applyFont="true" applyBorder="true" applyAlignment="true" applyProtection="false">
      <alignment horizontal="center" vertical="center" textRotation="0" wrapText="true" indent="0" shrinkToFit="false"/>
      <protection locked="true" hidden="false"/>
    </xf>
    <xf numFmtId="164" fontId="35" fillId="2" borderId="1" xfId="0" applyFont="true" applyBorder="true" applyAlignment="true" applyProtection="false">
      <alignment horizontal="left" vertical="center" textRotation="0" wrapText="false" indent="0" shrinkToFit="false"/>
      <protection locked="true" hidden="false"/>
    </xf>
    <xf numFmtId="164" fontId="11" fillId="2"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B5E20"/>
      <rgbColor rgb="FF000080"/>
      <rgbColor rgb="FF856404"/>
      <rgbColor rgb="FF6A1B9A"/>
      <rgbColor rgb="FF006064"/>
      <rgbColor rgb="FFCCCCCC"/>
      <rgbColor rgb="FF888888"/>
      <rgbColor rgb="FF9999FF"/>
      <rgbColor rgb="FF993366"/>
      <rgbColor rgb="FFFFF3CD"/>
      <rgbColor rgb="FFE3F2FD"/>
      <rgbColor rgb="FF4A148C"/>
      <rgbColor rgb="FFFF8080"/>
      <rgbColor rgb="FF1565C0"/>
      <rgbColor rgb="FFEDE7F6"/>
      <rgbColor rgb="FF000080"/>
      <rgbColor rgb="FFFF00FF"/>
      <rgbColor rgb="FFFFFF00"/>
      <rgbColor rgb="FF00FFFF"/>
      <rgbColor rgb="FF800080"/>
      <rgbColor rgb="FF800000"/>
      <rgbColor rgb="FF008080"/>
      <rgbColor rgb="FF0000FF"/>
      <rgbColor rgb="FF00CCFF"/>
      <rgbColor rgb="FFE8F5E9"/>
      <rgbColor rgb="FFF5F5F5"/>
      <rgbColor rgb="FFFFFF99"/>
      <rgbColor rgb="FF99CCFF"/>
      <rgbColor rgb="FFFF99CC"/>
      <rgbColor rgb="FFCC99FF"/>
      <rgbColor rgb="FFF3E5F5"/>
      <rgbColor rgb="FF3366FF"/>
      <rgbColor rgb="FF33CCCC"/>
      <rgbColor rgb="FFC8E000"/>
      <rgbColor rgb="FFFFCC00"/>
      <rgbColor rgb="FFFF9900"/>
      <rgbColor rgb="FFFF6600"/>
      <rgbColor rgb="FF666666"/>
      <rgbColor rgb="FFAAAAAA"/>
      <rgbColor rgb="FF003366"/>
      <rgbColor rgb="FF339966"/>
      <rgbColor rgb="FF003300"/>
      <rgbColor rgb="FF3D3D3D"/>
      <rgbColor rgb="FF993300"/>
      <rgbColor rgb="FF993366"/>
      <rgbColor rgb="FF555555"/>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E000"/>
    <pageSetUpPr fitToPage="false"/>
  </sheetPr>
  <dimension ref="B1:F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36"/>
    <col collapsed="false" customWidth="true" hidden="false" outlineLevel="0" max="6" min="4" style="0" width="18"/>
    <col collapsed="false" customWidth="true" hidden="false" outlineLevel="0" max="7" min="7" style="0" width="2"/>
  </cols>
  <sheetData>
    <row r="1" customFormat="false" ht="48" hidden="false" customHeight="true" outlineLevel="0" collapsed="false">
      <c r="B1" s="1" t="s">
        <v>0</v>
      </c>
      <c r="C1" s="1"/>
      <c r="D1" s="1"/>
      <c r="E1" s="1"/>
      <c r="F1" s="1"/>
    </row>
    <row r="2" customFormat="false" ht="19.5" hidden="false" customHeight="true" outlineLevel="0" collapsed="false">
      <c r="B2" s="2" t="s">
        <v>1</v>
      </c>
      <c r="C2" s="2"/>
      <c r="D2" s="2"/>
      <c r="E2" s="2"/>
      <c r="F2" s="2"/>
    </row>
    <row r="3" customFormat="false" ht="7.5" hidden="false" customHeight="true" outlineLevel="0" collapsed="false"/>
    <row r="4" customFormat="false" ht="21.75" hidden="false" customHeight="true" outlineLevel="0" collapsed="false">
      <c r="B4" s="3" t="s">
        <v>2</v>
      </c>
      <c r="C4" s="3"/>
      <c r="D4" s="3"/>
      <c r="E4" s="3"/>
      <c r="F4" s="3"/>
    </row>
    <row r="5" customFormat="false" ht="21.75" hidden="false" customHeight="true" outlineLevel="0" collapsed="false">
      <c r="B5" s="4" t="s">
        <v>3</v>
      </c>
      <c r="C5" s="5" t="s">
        <v>4</v>
      </c>
      <c r="D5" s="5"/>
      <c r="E5" s="5"/>
      <c r="F5" s="5"/>
    </row>
    <row r="6" customFormat="false" ht="21.75" hidden="false" customHeight="true" outlineLevel="0" collapsed="false">
      <c r="B6" s="4" t="s">
        <v>5</v>
      </c>
      <c r="C6" s="5" t="s">
        <v>6</v>
      </c>
      <c r="D6" s="5"/>
      <c r="E6" s="5"/>
      <c r="F6" s="5"/>
    </row>
    <row r="7" customFormat="false" ht="21.75" hidden="false" customHeight="true" outlineLevel="0" collapsed="false">
      <c r="B7" s="4" t="s">
        <v>7</v>
      </c>
      <c r="C7" s="5" t="s">
        <v>8</v>
      </c>
      <c r="D7" s="5"/>
      <c r="E7" s="5"/>
      <c r="F7" s="5"/>
    </row>
    <row r="8" customFormat="false" ht="7.5" hidden="false" customHeight="true" outlineLevel="0" collapsed="false"/>
    <row r="9" customFormat="false" ht="21.75" hidden="false" customHeight="true" outlineLevel="0" collapsed="false">
      <c r="B9" s="6" t="s">
        <v>9</v>
      </c>
      <c r="C9" s="6"/>
      <c r="D9" s="6"/>
      <c r="E9" s="6"/>
      <c r="F9" s="6"/>
    </row>
    <row r="10" customFormat="false" ht="25.5" hidden="false" customHeight="true" outlineLevel="0" collapsed="false">
      <c r="B10" s="4" t="s">
        <v>10</v>
      </c>
      <c r="C10" s="7" t="s">
        <v>11</v>
      </c>
      <c r="D10" s="7"/>
      <c r="E10" s="7"/>
      <c r="F10" s="7"/>
    </row>
    <row r="11" customFormat="false" ht="21.75" hidden="false" customHeight="true" outlineLevel="0" collapsed="false">
      <c r="B11" s="4" t="s">
        <v>12</v>
      </c>
      <c r="C11" s="8" t="str">
        <f aca="false">IFERROR(VLOOKUP(C10,'SCOPED Library'!$A:$B,2,0),"")</f>
        <v/>
      </c>
      <c r="D11" s="8"/>
      <c r="E11" s="8"/>
      <c r="F11" s="8"/>
    </row>
    <row r="12" customFormat="false" ht="21.75" hidden="false" customHeight="true" outlineLevel="0" collapsed="false">
      <c r="B12" s="4" t="s">
        <v>13</v>
      </c>
      <c r="C12" s="8" t="str">
        <f aca="false">IFERROR(VLOOKUP(C10,'SCOPED Library'!$A:$C,3,0),"")</f>
        <v/>
      </c>
      <c r="D12" s="8"/>
      <c r="E12" s="8"/>
      <c r="F12" s="8"/>
    </row>
    <row r="13" customFormat="false" ht="27.75" hidden="false" customHeight="true" outlineLevel="0" collapsed="false">
      <c r="B13" s="4" t="s">
        <v>14</v>
      </c>
      <c r="C13" s="8" t="str">
        <f aca="false">IFERROR(VLOOKUP(C10,'SCOPED Library'!$A:$D,4,0),"")</f>
        <v/>
      </c>
      <c r="D13" s="8"/>
      <c r="E13" s="8"/>
      <c r="F13" s="8"/>
    </row>
    <row r="14" customFormat="false" ht="27.75" hidden="false" customHeight="true" outlineLevel="0" collapsed="false">
      <c r="B14" s="4" t="s">
        <v>15</v>
      </c>
      <c r="C14" s="8" t="str">
        <f aca="false">IFERROR(VLOOKUP(C10,'SCOPED Library'!$A:$H,8,0),"")</f>
        <v/>
      </c>
      <c r="D14" s="8"/>
      <c r="E14" s="8"/>
      <c r="F14" s="8"/>
    </row>
    <row r="15" customFormat="false" ht="7.5" hidden="false" customHeight="true" outlineLevel="0" collapsed="false"/>
    <row r="16" customFormat="false" ht="21.75" hidden="false" customHeight="true" outlineLevel="0" collapsed="false">
      <c r="B16" s="6" t="s">
        <v>16</v>
      </c>
      <c r="C16" s="6"/>
      <c r="D16" s="6"/>
      <c r="E16" s="6"/>
      <c r="F16" s="6"/>
    </row>
    <row r="17" customFormat="false" ht="21.75" hidden="false" customHeight="true" outlineLevel="0" collapsed="false">
      <c r="B17" s="9" t="s">
        <v>17</v>
      </c>
      <c r="C17" s="9" t="s">
        <v>18</v>
      </c>
      <c r="D17" s="9" t="s">
        <v>19</v>
      </c>
      <c r="E17" s="9" t="s">
        <v>20</v>
      </c>
    </row>
    <row r="18" customFormat="false" ht="25.5" hidden="false" customHeight="true" outlineLevel="0" collapsed="false">
      <c r="B18" s="4" t="s">
        <v>21</v>
      </c>
      <c r="C18" s="10" t="s">
        <v>22</v>
      </c>
      <c r="D18" s="11" t="n">
        <f aca="false">IFERROR(VLOOKUP(C18,'Multiplier Table'!$B$3:$C$6,2,0),1)</f>
        <v>1</v>
      </c>
      <c r="E18" s="12" t="s">
        <v>23</v>
      </c>
      <c r="F18" s="12"/>
    </row>
    <row r="19" customFormat="false" ht="25.5" hidden="false" customHeight="true" outlineLevel="0" collapsed="false">
      <c r="B19" s="4" t="s">
        <v>24</v>
      </c>
      <c r="C19" s="10" t="s">
        <v>25</v>
      </c>
      <c r="D19" s="11" t="n">
        <f aca="false">IFERROR(VLOOKUP(C19,'Multiplier Table'!$B$8:$C$10,2,0),1)</f>
        <v>1</v>
      </c>
      <c r="E19" s="12" t="s">
        <v>26</v>
      </c>
      <c r="F19" s="12"/>
    </row>
    <row r="20" customFormat="false" ht="25.5" hidden="false" customHeight="true" outlineLevel="0" collapsed="false">
      <c r="B20" s="4" t="s">
        <v>27</v>
      </c>
      <c r="C20" s="10" t="s">
        <v>25</v>
      </c>
      <c r="D20" s="11" t="n">
        <f aca="false">IFERROR(VLOOKUP(C20,'Multiplier Table'!$B$13:$C$15,2,0),1)</f>
        <v>1</v>
      </c>
      <c r="E20" s="12" t="s">
        <v>28</v>
      </c>
      <c r="F20" s="12"/>
    </row>
    <row r="21" customFormat="false" ht="25.5" hidden="false" customHeight="true" outlineLevel="0" collapsed="false">
      <c r="B21" s="4" t="s">
        <v>29</v>
      </c>
      <c r="C21" s="10" t="s">
        <v>30</v>
      </c>
      <c r="D21" s="11" t="n">
        <f aca="false">IFERROR(VLOOKUP(C21,'Multiplier Table'!$B$18:$C$21,2,0),1)</f>
        <v>1</v>
      </c>
      <c r="E21" s="12" t="s">
        <v>31</v>
      </c>
      <c r="F21" s="12"/>
    </row>
    <row r="22" customFormat="false" ht="25.5" hidden="false" customHeight="true" outlineLevel="0" collapsed="false">
      <c r="B22" s="4" t="s">
        <v>32</v>
      </c>
      <c r="C22" s="10" t="s">
        <v>25</v>
      </c>
      <c r="D22" s="11" t="n">
        <f aca="false">IFERROR(VLOOKUP(C22,'Multiplier Table'!$B$23:$C$24,2,0),1)</f>
        <v>1</v>
      </c>
      <c r="E22" s="12" t="s">
        <v>33</v>
      </c>
      <c r="F22" s="12"/>
    </row>
    <row r="23" customFormat="false" ht="7.5" hidden="false" customHeight="true" outlineLevel="0" collapsed="false"/>
    <row r="24" customFormat="false" ht="21.75" hidden="false" customHeight="true" outlineLevel="0" collapsed="false">
      <c r="B24" s="3" t="s">
        <v>34</v>
      </c>
      <c r="C24" s="3"/>
      <c r="D24" s="3"/>
      <c r="E24" s="3"/>
      <c r="F24" s="3"/>
    </row>
    <row r="25" customFormat="false" ht="21.75" hidden="false" customHeight="true" outlineLevel="0" collapsed="false">
      <c r="B25" s="4" t="s">
        <v>35</v>
      </c>
      <c r="C25" s="13" t="str">
        <f aca="false">IFERROR(VLOOKUP(C10,'SCOPED Library'!$A:$H,8,0),"")</f>
        <v/>
      </c>
      <c r="D25" s="13"/>
      <c r="E25" s="13"/>
      <c r="F25" s="13"/>
    </row>
    <row r="26" customFormat="false" ht="24" hidden="false" customHeight="true" outlineLevel="0" collapsed="false">
      <c r="B26" s="14" t="s">
        <v>36</v>
      </c>
      <c r="C26" s="8"/>
      <c r="D26" s="8"/>
      <c r="E26" s="8"/>
      <c r="F26" s="8"/>
    </row>
    <row r="27" customFormat="false" ht="24" hidden="false" customHeight="true" outlineLevel="0" collapsed="false">
      <c r="B27" s="14" t="s">
        <v>37</v>
      </c>
      <c r="C27" s="8"/>
      <c r="D27" s="8"/>
      <c r="E27" s="8"/>
      <c r="F27" s="8"/>
    </row>
    <row r="28" customFormat="false" ht="24" hidden="false" customHeight="true" outlineLevel="0" collapsed="false">
      <c r="B28" s="14" t="s">
        <v>38</v>
      </c>
      <c r="C28" s="8"/>
      <c r="D28" s="8"/>
      <c r="E28" s="8"/>
      <c r="F28" s="8"/>
    </row>
    <row r="29" customFormat="false" ht="24" hidden="false" customHeight="true" outlineLevel="0" collapsed="false">
      <c r="B29" s="14" t="s">
        <v>39</v>
      </c>
      <c r="C29" s="8"/>
      <c r="D29" s="8"/>
      <c r="E29" s="8"/>
      <c r="F29" s="8"/>
    </row>
    <row r="30" customFormat="false" ht="7.5" hidden="false" customHeight="true" outlineLevel="0" collapsed="false"/>
    <row r="31" customFormat="false" ht="25.5" hidden="false" customHeight="true" outlineLevel="0" collapsed="false">
      <c r="B31" s="15" t="s">
        <v>40</v>
      </c>
      <c r="C31" s="15"/>
      <c r="D31" s="15"/>
      <c r="E31" s="15"/>
      <c r="F31" s="15"/>
    </row>
    <row r="32" customFormat="false" ht="21.75" hidden="false" customHeight="true" outlineLevel="0" collapsed="false">
      <c r="B32" s="9" t="s">
        <v>41</v>
      </c>
      <c r="C32" s="9" t="s">
        <v>42</v>
      </c>
      <c r="D32" s="9" t="s">
        <v>43</v>
      </c>
      <c r="E32" s="9" t="s">
        <v>20</v>
      </c>
      <c r="F32" s="9"/>
    </row>
    <row r="33" customFormat="false" ht="27.75" hidden="false" customHeight="true" outlineLevel="0" collapsed="false">
      <c r="B33" s="4" t="s">
        <v>44</v>
      </c>
      <c r="C33" s="16" t="n">
        <f aca="false">IFERROR(VLOOKUP(C10,'SCOPED Library'!$A:$E,5,0),0)</f>
        <v>0</v>
      </c>
      <c r="D33" s="17" t="str">
        <f aca="false">IF(C33&gt;0,C33*25,"")</f>
        <v/>
      </c>
      <c r="E33" s="18" t="s">
        <v>45</v>
      </c>
      <c r="F33" s="18"/>
    </row>
    <row r="34" customFormat="false" ht="27.75" hidden="false" customHeight="true" outlineLevel="0" collapsed="false">
      <c r="B34" s="19" t="s">
        <v>46</v>
      </c>
      <c r="C34" s="20" t="n">
        <f aca="false">IFERROR(ROUND(VLOOKUP(C10,'SCOPED Library'!$A:$F,6,0)*D18*D19*D20*D21*D22,0),0)</f>
        <v>0</v>
      </c>
      <c r="D34" s="21" t="str">
        <f aca="false">IF(C34&gt;0,C34*25,"")</f>
        <v/>
      </c>
      <c r="E34" s="22" t="s">
        <v>47</v>
      </c>
      <c r="F34" s="22"/>
    </row>
    <row r="35" customFormat="false" ht="27.75" hidden="false" customHeight="true" outlineLevel="0" collapsed="false">
      <c r="B35" s="23" t="s">
        <v>48</v>
      </c>
      <c r="C35" s="24" t="n">
        <f aca="false">IFERROR(VLOOKUP(C10,'SCOPED Library'!$A:$G,7,0),0)</f>
        <v>0</v>
      </c>
      <c r="D35" s="25" t="str">
        <f aca="false">IF(C35&gt;0,C35*25,"")</f>
        <v/>
      </c>
      <c r="E35" s="26" t="s">
        <v>49</v>
      </c>
      <c r="F35" s="26"/>
    </row>
    <row r="36" customFormat="false" ht="7.5" hidden="false" customHeight="true" outlineLevel="0" collapsed="false"/>
    <row r="37" customFormat="false" ht="21.75" hidden="false" customHeight="true" outlineLevel="0" collapsed="false">
      <c r="B37" s="27" t="s">
        <v>50</v>
      </c>
      <c r="C37" s="27"/>
      <c r="D37" s="27"/>
      <c r="E37" s="27"/>
      <c r="F37" s="27"/>
    </row>
  </sheetData>
  <mergeCells count="29">
    <mergeCell ref="B1:F1"/>
    <mergeCell ref="B2:F2"/>
    <mergeCell ref="B4:F4"/>
    <mergeCell ref="C5:F5"/>
    <mergeCell ref="C6:F6"/>
    <mergeCell ref="C7:F7"/>
    <mergeCell ref="B9:F9"/>
    <mergeCell ref="C10:F10"/>
    <mergeCell ref="C11:F11"/>
    <mergeCell ref="C12:F12"/>
    <mergeCell ref="C13:F13"/>
    <mergeCell ref="C14:F14"/>
    <mergeCell ref="B16:F16"/>
    <mergeCell ref="E18:F18"/>
    <mergeCell ref="E19:F19"/>
    <mergeCell ref="E20:F20"/>
    <mergeCell ref="E21:F21"/>
    <mergeCell ref="E22:F22"/>
    <mergeCell ref="B24:F24"/>
    <mergeCell ref="C25:F25"/>
    <mergeCell ref="C26:F26"/>
    <mergeCell ref="C27:F27"/>
    <mergeCell ref="C28:F28"/>
    <mergeCell ref="C29:F29"/>
    <mergeCell ref="B31:F31"/>
    <mergeCell ref="E33:F33"/>
    <mergeCell ref="E34:F34"/>
    <mergeCell ref="E35:F35"/>
    <mergeCell ref="B37:F37"/>
  </mergeCells>
  <dataValidations count="6">
    <dataValidation allowBlank="true" errorStyle="stop" operator="between" showDropDown="false" showErrorMessage="false" showInputMessage="false" sqref="C10" type="list">
      <formula1>'SCOPED Library'!$A$2:$A$39</formula1>
      <formula2>0</formula2>
    </dataValidation>
    <dataValidation allowBlank="true" errorStyle="stop" operator="between" showDropDown="false" showErrorMessage="false" showInputMessage="false" sqref="C18" type="list">
      <formula1>'Multiplier Table'!$B$3:$B$6</formula1>
      <formula2>0</formula2>
    </dataValidation>
    <dataValidation allowBlank="true" errorStyle="stop" operator="between" showDropDown="false" showErrorMessage="false" showInputMessage="false" sqref="C19" type="list">
      <formula1>'Multiplier Table'!$B$8:$B$10</formula1>
      <formula2>0</formula2>
    </dataValidation>
    <dataValidation allowBlank="true" errorStyle="stop" operator="between" showDropDown="false" showErrorMessage="false" showInputMessage="false" sqref="C20" type="list">
      <formula1>'Multiplier Table'!$B$13:$B$15</formula1>
      <formula2>0</formula2>
    </dataValidation>
    <dataValidation allowBlank="true" errorStyle="stop" operator="between" showDropDown="false" showErrorMessage="false" showInputMessage="false" sqref="C21" type="list">
      <formula1>'Multiplier Table'!$B$18:$B$21</formula1>
      <formula2>0</formula2>
    </dataValidation>
    <dataValidation allowBlank="true" errorStyle="stop" operator="between" showDropDown="false" showErrorMessage="false" showInputMessage="false" sqref="C22" type="list">
      <formula1>'Multiplier Table'!$B$23:$B$24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2D2D"/>
    <pageSetUpPr fitToPage="false"/>
  </sheetPr>
  <dimension ref="B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22"/>
    <col collapsed="false" customWidth="true" hidden="false" outlineLevel="0" max="4" min="4" style="0" width="20"/>
    <col collapsed="false" customWidth="true" hidden="false" outlineLevel="0" max="5" min="5" style="0" width="40"/>
    <col collapsed="false" customWidth="true" hidden="false" outlineLevel="0" max="8" min="6" style="0" width="8"/>
    <col collapsed="false" customWidth="true" hidden="false" outlineLevel="0" max="9" min="9" style="0" width="40"/>
    <col collapsed="false" customWidth="true" hidden="false" outlineLevel="0" max="10" min="10" style="0" width="2"/>
  </cols>
  <sheetData>
    <row r="1" customFormat="false" ht="36" hidden="false" customHeight="true" outlineLevel="0" collapsed="false">
      <c r="B1" s="28" t="s">
        <v>51</v>
      </c>
      <c r="C1" s="28"/>
      <c r="D1" s="28"/>
      <c r="E1" s="28"/>
      <c r="F1" s="28"/>
      <c r="G1" s="28"/>
      <c r="H1" s="28"/>
      <c r="I1" s="28"/>
      <c r="J1" s="28"/>
    </row>
    <row r="2" customFormat="false" ht="27.75" hidden="false" customHeight="true" outlineLevel="0" collapsed="false">
      <c r="B2" s="29" t="s">
        <v>52</v>
      </c>
      <c r="C2" s="29" t="s">
        <v>12</v>
      </c>
      <c r="D2" s="29" t="s">
        <v>53</v>
      </c>
      <c r="E2" s="29" t="s">
        <v>14</v>
      </c>
      <c r="F2" s="29" t="s">
        <v>54</v>
      </c>
      <c r="G2" s="29" t="s">
        <v>55</v>
      </c>
      <c r="H2" s="29" t="s">
        <v>56</v>
      </c>
      <c r="I2" s="29" t="s">
        <v>15</v>
      </c>
    </row>
    <row r="3" customFormat="false" ht="31.5" hidden="false" customHeight="true" outlineLevel="0" collapsed="false">
      <c r="B3" s="30" t="s">
        <v>57</v>
      </c>
      <c r="C3" s="31" t="s">
        <v>58</v>
      </c>
      <c r="D3" s="32" t="s">
        <v>59</v>
      </c>
      <c r="E3" s="33" t="s">
        <v>60</v>
      </c>
      <c r="F3" s="34" t="n">
        <v>16</v>
      </c>
      <c r="G3" s="34" t="n">
        <v>26</v>
      </c>
      <c r="H3" s="35" t="n">
        <v>44</v>
      </c>
      <c r="I3" s="32" t="s">
        <v>61</v>
      </c>
    </row>
    <row r="4" customFormat="false" ht="31.5" hidden="false" customHeight="true" outlineLevel="0" collapsed="false">
      <c r="B4" s="30" t="s">
        <v>62</v>
      </c>
      <c r="C4" s="31" t="s">
        <v>58</v>
      </c>
      <c r="D4" s="32" t="s">
        <v>59</v>
      </c>
      <c r="E4" s="33" t="s">
        <v>63</v>
      </c>
      <c r="F4" s="34" t="n">
        <v>10</v>
      </c>
      <c r="G4" s="34" t="n">
        <v>18</v>
      </c>
      <c r="H4" s="35" t="n">
        <v>32</v>
      </c>
      <c r="I4" s="32" t="s">
        <v>64</v>
      </c>
    </row>
    <row r="5" customFormat="false" ht="31.5" hidden="false" customHeight="true" outlineLevel="0" collapsed="false">
      <c r="B5" s="36" t="s">
        <v>65</v>
      </c>
      <c r="C5" s="37" t="s">
        <v>58</v>
      </c>
      <c r="D5" s="38" t="s">
        <v>66</v>
      </c>
      <c r="E5" s="39" t="s">
        <v>67</v>
      </c>
      <c r="F5" s="40" t="n">
        <v>8</v>
      </c>
      <c r="G5" s="40" t="n">
        <v>14</v>
      </c>
      <c r="H5" s="41" t="n">
        <v>22</v>
      </c>
      <c r="I5" s="38" t="s">
        <v>68</v>
      </c>
    </row>
    <row r="6" customFormat="false" ht="31.5" hidden="false" customHeight="true" outlineLevel="0" collapsed="false">
      <c r="B6" s="42" t="s">
        <v>69</v>
      </c>
      <c r="C6" s="43" t="s">
        <v>58</v>
      </c>
      <c r="D6" s="44" t="s">
        <v>70</v>
      </c>
      <c r="E6" s="45" t="s">
        <v>71</v>
      </c>
      <c r="F6" s="46" t="n">
        <v>6</v>
      </c>
      <c r="G6" s="46" t="n">
        <v>12</v>
      </c>
      <c r="H6" s="47" t="n">
        <v>20</v>
      </c>
      <c r="I6" s="44" t="s">
        <v>72</v>
      </c>
    </row>
    <row r="7" customFormat="false" ht="31.5" hidden="false" customHeight="true" outlineLevel="0" collapsed="false">
      <c r="B7" s="36" t="s">
        <v>73</v>
      </c>
      <c r="C7" s="37" t="s">
        <v>58</v>
      </c>
      <c r="D7" s="38" t="s">
        <v>66</v>
      </c>
      <c r="E7" s="39" t="s">
        <v>74</v>
      </c>
      <c r="F7" s="40" t="n">
        <v>8</v>
      </c>
      <c r="G7" s="40" t="n">
        <v>16</v>
      </c>
      <c r="H7" s="41" t="n">
        <v>28</v>
      </c>
      <c r="I7" s="38" t="s">
        <v>75</v>
      </c>
    </row>
    <row r="8" customFormat="false" ht="31.5" hidden="false" customHeight="true" outlineLevel="0" collapsed="false">
      <c r="B8" s="36" t="s">
        <v>76</v>
      </c>
      <c r="C8" s="37" t="s">
        <v>58</v>
      </c>
      <c r="D8" s="38" t="s">
        <v>66</v>
      </c>
      <c r="E8" s="39" t="s">
        <v>77</v>
      </c>
      <c r="F8" s="40" t="n">
        <v>10</v>
      </c>
      <c r="G8" s="40" t="n">
        <v>18</v>
      </c>
      <c r="H8" s="41" t="n">
        <v>28</v>
      </c>
      <c r="I8" s="38" t="s">
        <v>78</v>
      </c>
    </row>
    <row r="9" customFormat="false" ht="31.5" hidden="false" customHeight="true" outlineLevel="0" collapsed="false">
      <c r="B9" s="36" t="s">
        <v>79</v>
      </c>
      <c r="C9" s="37" t="s">
        <v>58</v>
      </c>
      <c r="D9" s="38" t="s">
        <v>66</v>
      </c>
      <c r="E9" s="39" t="s">
        <v>80</v>
      </c>
      <c r="F9" s="40" t="n">
        <v>8</v>
      </c>
      <c r="G9" s="40" t="n">
        <v>14</v>
      </c>
      <c r="H9" s="41" t="n">
        <v>24</v>
      </c>
      <c r="I9" s="38" t="s">
        <v>81</v>
      </c>
    </row>
    <row r="10" customFormat="false" ht="31.5" hidden="false" customHeight="true" outlineLevel="0" collapsed="false">
      <c r="B10" s="30" t="s">
        <v>82</v>
      </c>
      <c r="C10" s="31" t="s">
        <v>58</v>
      </c>
      <c r="D10" s="32" t="s">
        <v>59</v>
      </c>
      <c r="E10" s="33" t="s">
        <v>83</v>
      </c>
      <c r="F10" s="34" t="n">
        <v>14</v>
      </c>
      <c r="G10" s="34" t="n">
        <v>24</v>
      </c>
      <c r="H10" s="35" t="n">
        <v>40</v>
      </c>
      <c r="I10" s="32" t="s">
        <v>84</v>
      </c>
    </row>
    <row r="11" customFormat="false" ht="31.5" hidden="false" customHeight="true" outlineLevel="0" collapsed="false">
      <c r="B11" s="30" t="s">
        <v>85</v>
      </c>
      <c r="C11" s="31" t="s">
        <v>58</v>
      </c>
      <c r="D11" s="32" t="s">
        <v>59</v>
      </c>
      <c r="E11" s="33" t="s">
        <v>86</v>
      </c>
      <c r="F11" s="34" t="n">
        <v>10</v>
      </c>
      <c r="G11" s="34" t="n">
        <v>18</v>
      </c>
      <c r="H11" s="35" t="n">
        <v>28</v>
      </c>
      <c r="I11" s="32" t="s">
        <v>87</v>
      </c>
    </row>
    <row r="12" customFormat="false" ht="31.5" hidden="false" customHeight="true" outlineLevel="0" collapsed="false">
      <c r="B12" s="30" t="s">
        <v>88</v>
      </c>
      <c r="C12" s="31" t="s">
        <v>58</v>
      </c>
      <c r="D12" s="32" t="s">
        <v>59</v>
      </c>
      <c r="E12" s="33" t="s">
        <v>89</v>
      </c>
      <c r="F12" s="34" t="n">
        <v>8</v>
      </c>
      <c r="G12" s="34" t="n">
        <v>14</v>
      </c>
      <c r="H12" s="35" t="n">
        <v>20</v>
      </c>
      <c r="I12" s="32" t="s">
        <v>90</v>
      </c>
    </row>
    <row r="13" customFormat="false" ht="31.5" hidden="false" customHeight="true" outlineLevel="0" collapsed="false">
      <c r="B13" s="48" t="s">
        <v>91</v>
      </c>
      <c r="C13" s="49" t="s">
        <v>92</v>
      </c>
      <c r="D13" s="38" t="s">
        <v>93</v>
      </c>
      <c r="E13" s="39" t="s">
        <v>94</v>
      </c>
      <c r="F13" s="40" t="n">
        <v>8</v>
      </c>
      <c r="G13" s="40" t="n">
        <v>16</v>
      </c>
      <c r="H13" s="41" t="n">
        <v>24</v>
      </c>
      <c r="I13" s="38" t="s">
        <v>95</v>
      </c>
    </row>
    <row r="14" customFormat="false" ht="31.5" hidden="false" customHeight="true" outlineLevel="0" collapsed="false">
      <c r="B14" s="48" t="s">
        <v>96</v>
      </c>
      <c r="C14" s="49" t="s">
        <v>92</v>
      </c>
      <c r="D14" s="38" t="s">
        <v>93</v>
      </c>
      <c r="E14" s="39" t="s">
        <v>97</v>
      </c>
      <c r="F14" s="40" t="n">
        <v>24</v>
      </c>
      <c r="G14" s="40" t="n">
        <v>42</v>
      </c>
      <c r="H14" s="41" t="n">
        <v>68</v>
      </c>
      <c r="I14" s="38" t="s">
        <v>98</v>
      </c>
    </row>
    <row r="15" customFormat="false" ht="31.5" hidden="false" customHeight="true" outlineLevel="0" collapsed="false">
      <c r="B15" s="48" t="s">
        <v>99</v>
      </c>
      <c r="C15" s="49" t="s">
        <v>92</v>
      </c>
      <c r="D15" s="38" t="s">
        <v>93</v>
      </c>
      <c r="E15" s="39" t="s">
        <v>100</v>
      </c>
      <c r="F15" s="40" t="n">
        <v>12</v>
      </c>
      <c r="G15" s="40" t="n">
        <v>20</v>
      </c>
      <c r="H15" s="41" t="n">
        <v>32</v>
      </c>
      <c r="I15" s="38" t="s">
        <v>101</v>
      </c>
    </row>
    <row r="16" customFormat="false" ht="31.5" hidden="false" customHeight="true" outlineLevel="0" collapsed="false">
      <c r="B16" s="36" t="s">
        <v>102</v>
      </c>
      <c r="C16" s="37" t="s">
        <v>103</v>
      </c>
      <c r="D16" s="38" t="s">
        <v>66</v>
      </c>
      <c r="E16" s="39" t="s">
        <v>104</v>
      </c>
      <c r="F16" s="40" t="n">
        <v>16</v>
      </c>
      <c r="G16" s="40" t="n">
        <v>32</v>
      </c>
      <c r="H16" s="41" t="n">
        <v>64</v>
      </c>
      <c r="I16" s="38" t="s">
        <v>105</v>
      </c>
    </row>
    <row r="17" customFormat="false" ht="31.5" hidden="false" customHeight="true" outlineLevel="0" collapsed="false">
      <c r="B17" s="36" t="s">
        <v>106</v>
      </c>
      <c r="C17" s="37" t="s">
        <v>103</v>
      </c>
      <c r="D17" s="38" t="s">
        <v>66</v>
      </c>
      <c r="E17" s="39" t="s">
        <v>107</v>
      </c>
      <c r="F17" s="40" t="n">
        <v>10</v>
      </c>
      <c r="G17" s="40" t="n">
        <v>18</v>
      </c>
      <c r="H17" s="41" t="n">
        <v>28</v>
      </c>
      <c r="I17" s="38" t="s">
        <v>108</v>
      </c>
    </row>
    <row r="18" customFormat="false" ht="31.5" hidden="false" customHeight="true" outlineLevel="0" collapsed="false">
      <c r="B18" s="36" t="s">
        <v>109</v>
      </c>
      <c r="C18" s="37" t="s">
        <v>103</v>
      </c>
      <c r="D18" s="38" t="s">
        <v>66</v>
      </c>
      <c r="E18" s="39" t="s">
        <v>110</v>
      </c>
      <c r="F18" s="40" t="n">
        <v>16</v>
      </c>
      <c r="G18" s="40" t="n">
        <v>32</v>
      </c>
      <c r="H18" s="41" t="n">
        <v>56</v>
      </c>
      <c r="I18" s="38" t="s">
        <v>111</v>
      </c>
    </row>
    <row r="19" customFormat="false" ht="31.5" hidden="false" customHeight="true" outlineLevel="0" collapsed="false">
      <c r="B19" s="48" t="s">
        <v>112</v>
      </c>
      <c r="C19" s="49" t="s">
        <v>113</v>
      </c>
      <c r="D19" s="38" t="s">
        <v>93</v>
      </c>
      <c r="E19" s="39" t="s">
        <v>114</v>
      </c>
      <c r="F19" s="40" t="n">
        <v>14</v>
      </c>
      <c r="G19" s="40" t="n">
        <v>24</v>
      </c>
      <c r="H19" s="41" t="n">
        <v>40</v>
      </c>
      <c r="I19" s="38" t="s">
        <v>115</v>
      </c>
    </row>
    <row r="20" customFormat="false" ht="31.5" hidden="false" customHeight="true" outlineLevel="0" collapsed="false">
      <c r="B20" s="48" t="s">
        <v>116</v>
      </c>
      <c r="C20" s="49" t="s">
        <v>113</v>
      </c>
      <c r="D20" s="38" t="s">
        <v>93</v>
      </c>
      <c r="E20" s="39" t="s">
        <v>117</v>
      </c>
      <c r="F20" s="40" t="n">
        <v>12</v>
      </c>
      <c r="G20" s="40" t="n">
        <v>20</v>
      </c>
      <c r="H20" s="41" t="n">
        <v>32</v>
      </c>
      <c r="I20" s="38" t="s">
        <v>118</v>
      </c>
    </row>
    <row r="21" customFormat="false" ht="31.5" hidden="false" customHeight="true" outlineLevel="0" collapsed="false">
      <c r="B21" s="36" t="s">
        <v>119</v>
      </c>
      <c r="C21" s="37" t="s">
        <v>120</v>
      </c>
      <c r="D21" s="38" t="s">
        <v>66</v>
      </c>
      <c r="E21" s="39" t="s">
        <v>121</v>
      </c>
      <c r="F21" s="40" t="n">
        <v>10</v>
      </c>
      <c r="G21" s="40" t="n">
        <v>18</v>
      </c>
      <c r="H21" s="41" t="n">
        <v>28</v>
      </c>
      <c r="I21" s="38" t="s">
        <v>122</v>
      </c>
    </row>
    <row r="22" customFormat="false" ht="31.5" hidden="false" customHeight="true" outlineLevel="0" collapsed="false">
      <c r="B22" s="36" t="s">
        <v>123</v>
      </c>
      <c r="C22" s="37" t="s">
        <v>120</v>
      </c>
      <c r="D22" s="38" t="s">
        <v>66</v>
      </c>
      <c r="E22" s="39" t="s">
        <v>124</v>
      </c>
      <c r="F22" s="40" t="n">
        <v>12</v>
      </c>
      <c r="G22" s="40" t="n">
        <v>20</v>
      </c>
      <c r="H22" s="41" t="n">
        <v>36</v>
      </c>
      <c r="I22" s="38" t="s">
        <v>125</v>
      </c>
    </row>
    <row r="23" customFormat="false" ht="31.5" hidden="false" customHeight="true" outlineLevel="0" collapsed="false">
      <c r="B23" s="36" t="s">
        <v>126</v>
      </c>
      <c r="C23" s="37" t="s">
        <v>120</v>
      </c>
      <c r="D23" s="38" t="s">
        <v>66</v>
      </c>
      <c r="E23" s="39" t="s">
        <v>127</v>
      </c>
      <c r="F23" s="40" t="n">
        <v>8</v>
      </c>
      <c r="G23" s="40" t="n">
        <v>14</v>
      </c>
      <c r="H23" s="41" t="n">
        <v>24</v>
      </c>
      <c r="I23" s="38" t="s">
        <v>128</v>
      </c>
    </row>
    <row r="24" customFormat="false" ht="31.5" hidden="false" customHeight="true" outlineLevel="0" collapsed="false">
      <c r="B24" s="36" t="s">
        <v>129</v>
      </c>
      <c r="C24" s="37" t="s">
        <v>120</v>
      </c>
      <c r="D24" s="38" t="s">
        <v>66</v>
      </c>
      <c r="E24" s="39" t="s">
        <v>130</v>
      </c>
      <c r="F24" s="40" t="n">
        <v>16</v>
      </c>
      <c r="G24" s="40" t="n">
        <v>28</v>
      </c>
      <c r="H24" s="41" t="n">
        <v>48</v>
      </c>
      <c r="I24" s="38" t="s">
        <v>131</v>
      </c>
    </row>
    <row r="25" customFormat="false" ht="31.5" hidden="false" customHeight="true" outlineLevel="0" collapsed="false">
      <c r="B25" s="36" t="s">
        <v>132</v>
      </c>
      <c r="C25" s="37" t="s">
        <v>120</v>
      </c>
      <c r="D25" s="38" t="s">
        <v>66</v>
      </c>
      <c r="E25" s="39" t="s">
        <v>133</v>
      </c>
      <c r="F25" s="40" t="n">
        <v>12</v>
      </c>
      <c r="G25" s="40" t="n">
        <v>20</v>
      </c>
      <c r="H25" s="41" t="n">
        <v>32</v>
      </c>
      <c r="I25" s="38" t="s">
        <v>134</v>
      </c>
    </row>
    <row r="26" customFormat="false" ht="31.5" hidden="false" customHeight="true" outlineLevel="0" collapsed="false">
      <c r="B26" s="36" t="s">
        <v>135</v>
      </c>
      <c r="C26" s="37" t="s">
        <v>120</v>
      </c>
      <c r="D26" s="38" t="s">
        <v>66</v>
      </c>
      <c r="E26" s="39" t="s">
        <v>136</v>
      </c>
      <c r="F26" s="40" t="n">
        <v>16</v>
      </c>
      <c r="G26" s="40" t="n">
        <v>28</v>
      </c>
      <c r="H26" s="41" t="n">
        <v>48</v>
      </c>
      <c r="I26" s="38" t="s">
        <v>137</v>
      </c>
    </row>
    <row r="27" customFormat="false" ht="31.5" hidden="false" customHeight="true" outlineLevel="0" collapsed="false">
      <c r="B27" s="48" t="s">
        <v>138</v>
      </c>
      <c r="C27" s="49" t="s">
        <v>139</v>
      </c>
      <c r="D27" s="38" t="s">
        <v>93</v>
      </c>
      <c r="E27" s="39" t="s">
        <v>140</v>
      </c>
      <c r="F27" s="40" t="n">
        <v>16</v>
      </c>
      <c r="G27" s="40" t="n">
        <v>28</v>
      </c>
      <c r="H27" s="41" t="n">
        <v>44</v>
      </c>
      <c r="I27" s="38" t="s">
        <v>141</v>
      </c>
    </row>
    <row r="28" customFormat="false" ht="31.5" hidden="false" customHeight="true" outlineLevel="0" collapsed="false">
      <c r="B28" s="48" t="s">
        <v>142</v>
      </c>
      <c r="C28" s="49" t="s">
        <v>139</v>
      </c>
      <c r="D28" s="38" t="s">
        <v>93</v>
      </c>
      <c r="E28" s="39" t="s">
        <v>143</v>
      </c>
      <c r="F28" s="40" t="n">
        <v>10</v>
      </c>
      <c r="G28" s="40" t="n">
        <v>18</v>
      </c>
      <c r="H28" s="41" t="n">
        <v>28</v>
      </c>
      <c r="I28" s="38" t="s">
        <v>144</v>
      </c>
    </row>
    <row r="29" customFormat="false" ht="31.5" hidden="false" customHeight="true" outlineLevel="0" collapsed="false">
      <c r="B29" s="48" t="s">
        <v>145</v>
      </c>
      <c r="C29" s="49" t="s">
        <v>139</v>
      </c>
      <c r="D29" s="38" t="s">
        <v>93</v>
      </c>
      <c r="E29" s="39" t="s">
        <v>146</v>
      </c>
      <c r="F29" s="40" t="n">
        <v>12</v>
      </c>
      <c r="G29" s="40" t="n">
        <v>20</v>
      </c>
      <c r="H29" s="41" t="n">
        <v>32</v>
      </c>
      <c r="I29" s="38" t="s">
        <v>147</v>
      </c>
    </row>
    <row r="30" customFormat="false" ht="31.5" hidden="false" customHeight="true" outlineLevel="0" collapsed="false">
      <c r="B30" s="30" t="s">
        <v>148</v>
      </c>
      <c r="C30" s="31" t="s">
        <v>139</v>
      </c>
      <c r="D30" s="32" t="s">
        <v>59</v>
      </c>
      <c r="E30" s="33" t="s">
        <v>149</v>
      </c>
      <c r="F30" s="34" t="n">
        <v>10</v>
      </c>
      <c r="G30" s="34" t="n">
        <v>18</v>
      </c>
      <c r="H30" s="35" t="n">
        <v>28</v>
      </c>
      <c r="I30" s="32" t="s">
        <v>150</v>
      </c>
    </row>
    <row r="31" customFormat="false" ht="31.5" hidden="false" customHeight="true" outlineLevel="0" collapsed="false">
      <c r="B31" s="48" t="s">
        <v>151</v>
      </c>
      <c r="C31" s="49" t="s">
        <v>139</v>
      </c>
      <c r="D31" s="38" t="s">
        <v>93</v>
      </c>
      <c r="E31" s="39" t="s">
        <v>152</v>
      </c>
      <c r="F31" s="40" t="n">
        <v>12</v>
      </c>
      <c r="G31" s="40" t="n">
        <v>20</v>
      </c>
      <c r="H31" s="41" t="n">
        <v>32</v>
      </c>
      <c r="I31" s="38" t="s">
        <v>153</v>
      </c>
    </row>
    <row r="32" customFormat="false" ht="31.5" hidden="false" customHeight="true" outlineLevel="0" collapsed="false">
      <c r="B32" s="48" t="s">
        <v>154</v>
      </c>
      <c r="C32" s="49" t="s">
        <v>139</v>
      </c>
      <c r="D32" s="38" t="s">
        <v>93</v>
      </c>
      <c r="E32" s="39" t="s">
        <v>155</v>
      </c>
      <c r="F32" s="40" t="n">
        <v>10</v>
      </c>
      <c r="G32" s="40" t="n">
        <v>18</v>
      </c>
      <c r="H32" s="41" t="n">
        <v>28</v>
      </c>
      <c r="I32" s="38" t="s">
        <v>156</v>
      </c>
    </row>
    <row r="33" customFormat="false" ht="31.5" hidden="false" customHeight="true" outlineLevel="0" collapsed="false">
      <c r="B33" s="42" t="s">
        <v>157</v>
      </c>
      <c r="C33" s="43" t="s">
        <v>158</v>
      </c>
      <c r="D33" s="44" t="s">
        <v>70</v>
      </c>
      <c r="E33" s="45" t="s">
        <v>159</v>
      </c>
      <c r="F33" s="46" t="n">
        <v>10</v>
      </c>
      <c r="G33" s="46" t="n">
        <v>18</v>
      </c>
      <c r="H33" s="47" t="n">
        <v>28</v>
      </c>
      <c r="I33" s="44" t="s">
        <v>160</v>
      </c>
    </row>
    <row r="34" customFormat="false" ht="31.5" hidden="false" customHeight="true" outlineLevel="0" collapsed="false">
      <c r="B34" s="42" t="s">
        <v>161</v>
      </c>
      <c r="C34" s="43" t="s">
        <v>158</v>
      </c>
      <c r="D34" s="44" t="s">
        <v>70</v>
      </c>
      <c r="E34" s="45" t="s">
        <v>162</v>
      </c>
      <c r="F34" s="46" t="n">
        <v>8</v>
      </c>
      <c r="G34" s="46" t="n">
        <v>14</v>
      </c>
      <c r="H34" s="47" t="n">
        <v>20</v>
      </c>
      <c r="I34" s="44" t="s">
        <v>163</v>
      </c>
    </row>
    <row r="35" customFormat="false" ht="31.5" hidden="false" customHeight="true" outlineLevel="0" collapsed="false">
      <c r="B35" s="48" t="s">
        <v>164</v>
      </c>
      <c r="C35" s="49" t="s">
        <v>165</v>
      </c>
      <c r="D35" s="38" t="s">
        <v>93</v>
      </c>
      <c r="E35" s="39" t="s">
        <v>166</v>
      </c>
      <c r="F35" s="40" t="n">
        <v>14</v>
      </c>
      <c r="G35" s="40" t="n">
        <v>24</v>
      </c>
      <c r="H35" s="41" t="n">
        <v>36</v>
      </c>
      <c r="I35" s="38" t="s">
        <v>167</v>
      </c>
    </row>
    <row r="36" customFormat="false" ht="31.5" hidden="false" customHeight="true" outlineLevel="0" collapsed="false">
      <c r="B36" s="42" t="s">
        <v>168</v>
      </c>
      <c r="C36" s="43" t="s">
        <v>169</v>
      </c>
      <c r="D36" s="44" t="s">
        <v>70</v>
      </c>
      <c r="E36" s="45" t="s">
        <v>170</v>
      </c>
      <c r="F36" s="46" t="n">
        <v>8</v>
      </c>
      <c r="G36" s="46" t="n">
        <v>14</v>
      </c>
      <c r="H36" s="47" t="n">
        <v>24</v>
      </c>
      <c r="I36" s="44" t="s">
        <v>171</v>
      </c>
    </row>
    <row r="37" customFormat="false" ht="31.5" hidden="false" customHeight="true" outlineLevel="0" collapsed="false">
      <c r="B37" s="50" t="s">
        <v>172</v>
      </c>
      <c r="C37" s="51" t="s">
        <v>173</v>
      </c>
      <c r="D37" s="52" t="s">
        <v>174</v>
      </c>
      <c r="E37" s="53" t="s">
        <v>175</v>
      </c>
      <c r="F37" s="54" t="n">
        <v>20</v>
      </c>
      <c r="G37" s="54" t="n">
        <v>36</v>
      </c>
      <c r="H37" s="55" t="n">
        <v>60</v>
      </c>
      <c r="I37" s="52" t="s">
        <v>176</v>
      </c>
    </row>
    <row r="38" customFormat="false" ht="31.5" hidden="false" customHeight="true" outlineLevel="0" collapsed="false">
      <c r="B38" s="50" t="s">
        <v>177</v>
      </c>
      <c r="C38" s="51" t="s">
        <v>173</v>
      </c>
      <c r="D38" s="52" t="s">
        <v>174</v>
      </c>
      <c r="E38" s="53" t="s">
        <v>178</v>
      </c>
      <c r="F38" s="54" t="n">
        <v>24</v>
      </c>
      <c r="G38" s="54" t="n">
        <v>40</v>
      </c>
      <c r="H38" s="55" t="n">
        <v>72</v>
      </c>
      <c r="I38" s="52" t="s">
        <v>179</v>
      </c>
    </row>
    <row r="39" customFormat="false" ht="31.5" hidden="false" customHeight="true" outlineLevel="0" collapsed="false">
      <c r="B39" s="50" t="s">
        <v>180</v>
      </c>
      <c r="C39" s="51" t="s">
        <v>173</v>
      </c>
      <c r="D39" s="52" t="s">
        <v>174</v>
      </c>
      <c r="E39" s="53" t="s">
        <v>181</v>
      </c>
      <c r="F39" s="54" t="n">
        <v>16</v>
      </c>
      <c r="G39" s="54" t="n">
        <v>28</v>
      </c>
      <c r="H39" s="55" t="n">
        <v>48</v>
      </c>
      <c r="I39" s="52" t="s">
        <v>182</v>
      </c>
    </row>
    <row r="40" customFormat="false" ht="31.5" hidden="false" customHeight="true" outlineLevel="0" collapsed="false">
      <c r="B40" s="50" t="s">
        <v>183</v>
      </c>
      <c r="C40" s="51" t="s">
        <v>173</v>
      </c>
      <c r="D40" s="52" t="s">
        <v>174</v>
      </c>
      <c r="E40" s="53" t="s">
        <v>184</v>
      </c>
      <c r="F40" s="54" t="n">
        <v>20</v>
      </c>
      <c r="G40" s="54" t="n">
        <v>36</v>
      </c>
      <c r="H40" s="55" t="n">
        <v>60</v>
      </c>
      <c r="I40" s="52" t="s">
        <v>185</v>
      </c>
    </row>
  </sheetData>
  <mergeCells count="1">
    <mergeCell ref="B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D3D3D"/>
    <pageSetUpPr fitToPage="false"/>
  </sheetPr>
  <dimension ref="B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38"/>
    <col collapsed="false" customWidth="true" hidden="false" outlineLevel="0" max="4" min="4" style="0" width="14"/>
    <col collapsed="false" customWidth="true" hidden="false" outlineLevel="0" max="5" min="5" style="0" width="36"/>
    <col collapsed="false" customWidth="true" hidden="false" outlineLevel="0" max="6" min="6" style="0" width="2"/>
  </cols>
  <sheetData>
    <row r="1" customFormat="false" ht="36" hidden="false" customHeight="true" outlineLevel="0" collapsed="false">
      <c r="B1" s="28" t="s">
        <v>186</v>
      </c>
      <c r="C1" s="28"/>
      <c r="D1" s="28"/>
      <c r="E1" s="28"/>
    </row>
    <row r="2" customFormat="false" ht="7.5" hidden="false" customHeight="true" outlineLevel="0" collapsed="false"/>
    <row r="3" customFormat="false" ht="25.5" hidden="false" customHeight="true" outlineLevel="0" collapsed="false">
      <c r="B3" s="56" t="s">
        <v>21</v>
      </c>
      <c r="C3" s="56"/>
      <c r="D3" s="56"/>
      <c r="E3" s="56"/>
    </row>
    <row r="4" customFormat="false" ht="21.75" hidden="false" customHeight="true" outlineLevel="0" collapsed="false">
      <c r="B4" s="9" t="s">
        <v>17</v>
      </c>
      <c r="C4" s="9" t="s">
        <v>187</v>
      </c>
      <c r="D4" s="9" t="s">
        <v>19</v>
      </c>
      <c r="E4" s="9" t="s">
        <v>188</v>
      </c>
    </row>
    <row r="5" customFormat="false" ht="25.5" hidden="false" customHeight="true" outlineLevel="0" collapsed="false">
      <c r="B5" s="57" t="s">
        <v>21</v>
      </c>
      <c r="C5" s="58" t="s">
        <v>189</v>
      </c>
      <c r="D5" s="59" t="n">
        <v>1</v>
      </c>
      <c r="E5" s="60" t="s">
        <v>190</v>
      </c>
    </row>
    <row r="6" customFormat="false" ht="25.5" hidden="false" customHeight="true" outlineLevel="0" collapsed="false">
      <c r="B6" s="57" t="s">
        <v>21</v>
      </c>
      <c r="C6" s="58" t="s">
        <v>191</v>
      </c>
      <c r="D6" s="61" t="n">
        <v>1.25</v>
      </c>
      <c r="E6" s="60" t="s">
        <v>192</v>
      </c>
    </row>
    <row r="7" customFormat="false" ht="25.5" hidden="false" customHeight="true" outlineLevel="0" collapsed="false">
      <c r="B7" s="57" t="s">
        <v>21</v>
      </c>
      <c r="C7" s="58" t="s">
        <v>193</v>
      </c>
      <c r="D7" s="62" t="n">
        <v>1.5</v>
      </c>
      <c r="E7" s="60" t="s">
        <v>194</v>
      </c>
    </row>
    <row r="8" customFormat="false" ht="25.5" hidden="false" customHeight="true" outlineLevel="0" collapsed="false">
      <c r="B8" s="57" t="s">
        <v>21</v>
      </c>
      <c r="C8" s="58" t="s">
        <v>195</v>
      </c>
      <c r="D8" s="62" t="n">
        <v>2</v>
      </c>
      <c r="E8" s="60" t="s">
        <v>196</v>
      </c>
    </row>
    <row r="9" customFormat="false" ht="7.5" hidden="false" customHeight="true" outlineLevel="0" collapsed="false"/>
    <row r="10" customFormat="false" ht="25.5" hidden="false" customHeight="true" outlineLevel="0" collapsed="false">
      <c r="B10" s="56" t="s">
        <v>24</v>
      </c>
      <c r="C10" s="56"/>
      <c r="D10" s="56"/>
      <c r="E10" s="56"/>
    </row>
    <row r="11" customFormat="false" ht="21.75" hidden="false" customHeight="true" outlineLevel="0" collapsed="false">
      <c r="B11" s="9" t="s">
        <v>17</v>
      </c>
      <c r="C11" s="9" t="s">
        <v>187</v>
      </c>
      <c r="D11" s="9" t="s">
        <v>19</v>
      </c>
      <c r="E11" s="9" t="s">
        <v>188</v>
      </c>
    </row>
    <row r="12" customFormat="false" ht="25.5" hidden="false" customHeight="true" outlineLevel="0" collapsed="false">
      <c r="B12" s="57" t="s">
        <v>24</v>
      </c>
      <c r="C12" s="58" t="s">
        <v>25</v>
      </c>
      <c r="D12" s="59" t="n">
        <v>1</v>
      </c>
      <c r="E12" s="60" t="s">
        <v>197</v>
      </c>
    </row>
    <row r="13" customFormat="false" ht="25.5" hidden="false" customHeight="true" outlineLevel="0" collapsed="false">
      <c r="B13" s="57" t="s">
        <v>24</v>
      </c>
      <c r="C13" s="58" t="s">
        <v>198</v>
      </c>
      <c r="D13" s="61" t="n">
        <v>1.2</v>
      </c>
      <c r="E13" s="60" t="s">
        <v>199</v>
      </c>
    </row>
    <row r="14" customFormat="false" ht="25.5" hidden="false" customHeight="true" outlineLevel="0" collapsed="false">
      <c r="B14" s="57" t="s">
        <v>24</v>
      </c>
      <c r="C14" s="58" t="s">
        <v>200</v>
      </c>
      <c r="D14" s="62" t="n">
        <v>1.35</v>
      </c>
      <c r="E14" s="60" t="s">
        <v>201</v>
      </c>
    </row>
    <row r="15" customFormat="false" ht="7.5" hidden="false" customHeight="true" outlineLevel="0" collapsed="false"/>
    <row r="16" customFormat="false" ht="25.5" hidden="false" customHeight="true" outlineLevel="0" collapsed="false">
      <c r="B16" s="56" t="s">
        <v>27</v>
      </c>
      <c r="C16" s="56"/>
      <c r="D16" s="56"/>
      <c r="E16" s="56"/>
    </row>
    <row r="17" customFormat="false" ht="21.75" hidden="false" customHeight="true" outlineLevel="0" collapsed="false">
      <c r="B17" s="9" t="s">
        <v>17</v>
      </c>
      <c r="C17" s="9" t="s">
        <v>187</v>
      </c>
      <c r="D17" s="9" t="s">
        <v>19</v>
      </c>
      <c r="E17" s="9" t="s">
        <v>188</v>
      </c>
    </row>
    <row r="18" customFormat="false" ht="25.5" hidden="false" customHeight="true" outlineLevel="0" collapsed="false">
      <c r="B18" s="57" t="s">
        <v>27</v>
      </c>
      <c r="C18" s="58" t="s">
        <v>202</v>
      </c>
      <c r="D18" s="63" t="n">
        <v>0.75</v>
      </c>
      <c r="E18" s="60" t="s">
        <v>203</v>
      </c>
    </row>
    <row r="19" customFormat="false" ht="25.5" hidden="false" customHeight="true" outlineLevel="0" collapsed="false">
      <c r="B19" s="57" t="s">
        <v>27</v>
      </c>
      <c r="C19" s="58" t="s">
        <v>25</v>
      </c>
      <c r="D19" s="59" t="n">
        <v>1</v>
      </c>
      <c r="E19" s="60" t="s">
        <v>204</v>
      </c>
    </row>
    <row r="20" customFormat="false" ht="25.5" hidden="false" customHeight="true" outlineLevel="0" collapsed="false">
      <c r="B20" s="57" t="s">
        <v>27</v>
      </c>
      <c r="C20" s="58" t="s">
        <v>205</v>
      </c>
      <c r="D20" s="62" t="n">
        <v>1.5</v>
      </c>
      <c r="E20" s="60" t="s">
        <v>206</v>
      </c>
    </row>
    <row r="21" customFormat="false" ht="7.5" hidden="false" customHeight="true" outlineLevel="0" collapsed="false"/>
    <row r="22" customFormat="false" ht="25.5" hidden="false" customHeight="true" outlineLevel="0" collapsed="false">
      <c r="B22" s="56" t="s">
        <v>29</v>
      </c>
      <c r="C22" s="56"/>
      <c r="D22" s="56"/>
      <c r="E22" s="56"/>
    </row>
    <row r="23" customFormat="false" ht="21.75" hidden="false" customHeight="true" outlineLevel="0" collapsed="false">
      <c r="B23" s="9" t="s">
        <v>17</v>
      </c>
      <c r="C23" s="9" t="s">
        <v>187</v>
      </c>
      <c r="D23" s="9" t="s">
        <v>19</v>
      </c>
      <c r="E23" s="9" t="s">
        <v>188</v>
      </c>
    </row>
    <row r="24" customFormat="false" ht="25.5" hidden="false" customHeight="true" outlineLevel="0" collapsed="false">
      <c r="B24" s="57" t="s">
        <v>29</v>
      </c>
      <c r="C24" s="58" t="s">
        <v>207</v>
      </c>
      <c r="D24" s="63" t="n">
        <v>0.9</v>
      </c>
      <c r="E24" s="60" t="s">
        <v>208</v>
      </c>
    </row>
    <row r="25" customFormat="false" ht="25.5" hidden="false" customHeight="true" outlineLevel="0" collapsed="false">
      <c r="B25" s="57" t="s">
        <v>29</v>
      </c>
      <c r="C25" s="58" t="s">
        <v>30</v>
      </c>
      <c r="D25" s="59" t="n">
        <v>1</v>
      </c>
      <c r="E25" s="60" t="s">
        <v>209</v>
      </c>
    </row>
    <row r="26" customFormat="false" ht="25.5" hidden="false" customHeight="true" outlineLevel="0" collapsed="false">
      <c r="B26" s="57" t="s">
        <v>29</v>
      </c>
      <c r="C26" s="58" t="s">
        <v>210</v>
      </c>
      <c r="D26" s="61" t="n">
        <v>1.15</v>
      </c>
      <c r="E26" s="60" t="s">
        <v>211</v>
      </c>
    </row>
    <row r="27" customFormat="false" ht="25.5" hidden="false" customHeight="true" outlineLevel="0" collapsed="false">
      <c r="B27" s="57" t="s">
        <v>29</v>
      </c>
      <c r="C27" s="58" t="s">
        <v>212</v>
      </c>
      <c r="D27" s="62" t="n">
        <v>1.35</v>
      </c>
      <c r="E27" s="60" t="s">
        <v>213</v>
      </c>
    </row>
    <row r="28" customFormat="false" ht="7.5" hidden="false" customHeight="true" outlineLevel="0" collapsed="false"/>
    <row r="29" customFormat="false" ht="25.5" hidden="false" customHeight="true" outlineLevel="0" collapsed="false">
      <c r="B29" s="56" t="s">
        <v>32</v>
      </c>
      <c r="C29" s="56"/>
      <c r="D29" s="56"/>
      <c r="E29" s="56"/>
    </row>
    <row r="30" customFormat="false" ht="21.75" hidden="false" customHeight="true" outlineLevel="0" collapsed="false">
      <c r="B30" s="9" t="s">
        <v>17</v>
      </c>
      <c r="C30" s="9" t="s">
        <v>187</v>
      </c>
      <c r="D30" s="9" t="s">
        <v>19</v>
      </c>
      <c r="E30" s="9" t="s">
        <v>188</v>
      </c>
    </row>
    <row r="31" customFormat="false" ht="25.5" hidden="false" customHeight="true" outlineLevel="0" collapsed="false">
      <c r="B31" s="57" t="s">
        <v>32</v>
      </c>
      <c r="C31" s="58" t="s">
        <v>25</v>
      </c>
      <c r="D31" s="59" t="n">
        <v>1</v>
      </c>
      <c r="E31" s="60" t="s">
        <v>214</v>
      </c>
    </row>
    <row r="32" customFormat="false" ht="25.5" hidden="false" customHeight="true" outlineLevel="0" collapsed="false">
      <c r="B32" s="57" t="s">
        <v>32</v>
      </c>
      <c r="C32" s="58" t="s">
        <v>215</v>
      </c>
      <c r="D32" s="61" t="n">
        <v>1.25</v>
      </c>
      <c r="E32" s="60" t="s">
        <v>216</v>
      </c>
    </row>
  </sheetData>
  <mergeCells count="6">
    <mergeCell ref="B1:E1"/>
    <mergeCell ref="B3:E3"/>
    <mergeCell ref="B10:E10"/>
    <mergeCell ref="B16:E16"/>
    <mergeCell ref="B22:E22"/>
    <mergeCell ref="B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60"/>
    <col collapsed="false" customWidth="true" hidden="false" outlineLevel="0" max="4" min="4" style="0" width="2"/>
  </cols>
  <sheetData>
    <row r="1" customFormat="false" ht="48" hidden="false" customHeight="true" outlineLevel="0" collapsed="false">
      <c r="B1" s="64" t="s">
        <v>217</v>
      </c>
      <c r="C1" s="64"/>
    </row>
    <row r="2" customFormat="false" ht="7.5" hidden="false" customHeight="true" outlineLevel="0" collapsed="false"/>
    <row r="3" customFormat="false" ht="24" hidden="false" customHeight="true" outlineLevel="0" collapsed="false">
      <c r="B3" s="65" t="s">
        <v>218</v>
      </c>
      <c r="C3" s="65"/>
    </row>
    <row r="4" customFormat="false" ht="19.5" hidden="false" customHeight="true" outlineLevel="0" collapsed="false">
      <c r="B4" s="8" t="s">
        <v>219</v>
      </c>
      <c r="C4" s="8"/>
    </row>
    <row r="5" customFormat="false" ht="7.5" hidden="false" customHeight="true" outlineLevel="0" collapsed="false"/>
    <row r="6" customFormat="false" ht="24" hidden="false" customHeight="true" outlineLevel="0" collapsed="false">
      <c r="B6" s="65" t="s">
        <v>220</v>
      </c>
      <c r="C6" s="65"/>
    </row>
    <row r="7" customFormat="false" ht="19.5" hidden="false" customHeight="true" outlineLevel="0" collapsed="false">
      <c r="B7" s="8" t="s">
        <v>221</v>
      </c>
      <c r="C7" s="8"/>
    </row>
    <row r="8" customFormat="false" ht="7.5" hidden="false" customHeight="true" outlineLevel="0" collapsed="false"/>
    <row r="9" customFormat="false" ht="24" hidden="false" customHeight="true" outlineLevel="0" collapsed="false">
      <c r="B9" s="65" t="s">
        <v>222</v>
      </c>
      <c r="C9" s="65"/>
    </row>
    <row r="10" customFormat="false" ht="19.5" hidden="false" customHeight="true" outlineLevel="0" collapsed="false">
      <c r="B10" s="8" t="s">
        <v>223</v>
      </c>
      <c r="C10" s="8"/>
    </row>
    <row r="11" customFormat="false" ht="7.5" hidden="false" customHeight="true" outlineLevel="0" collapsed="false"/>
    <row r="12" customFormat="false" ht="24" hidden="false" customHeight="true" outlineLevel="0" collapsed="false">
      <c r="B12" s="65" t="s">
        <v>224</v>
      </c>
      <c r="C12" s="65"/>
    </row>
    <row r="13" customFormat="false" ht="19.5" hidden="false" customHeight="true" outlineLevel="0" collapsed="false">
      <c r="B13" s="8" t="s">
        <v>225</v>
      </c>
      <c r="C13" s="8"/>
    </row>
    <row r="14" customFormat="false" ht="7.5" hidden="false" customHeight="true" outlineLevel="0" collapsed="false"/>
    <row r="15" customFormat="false" ht="24" hidden="false" customHeight="true" outlineLevel="0" collapsed="false">
      <c r="B15" s="65" t="s">
        <v>226</v>
      </c>
      <c r="C15" s="65"/>
    </row>
    <row r="16" customFormat="false" ht="19.5" hidden="false" customHeight="true" outlineLevel="0" collapsed="false">
      <c r="B16" s="8" t="s">
        <v>227</v>
      </c>
      <c r="C16" s="8"/>
    </row>
    <row r="17" customFormat="false" ht="19.5" hidden="false" customHeight="true" outlineLevel="0" collapsed="false">
      <c r="B17" s="8" t="s">
        <v>228</v>
      </c>
      <c r="C17" s="8"/>
    </row>
    <row r="18" customFormat="false" ht="19.5" hidden="false" customHeight="true" outlineLevel="0" collapsed="false">
      <c r="B18" s="8" t="s">
        <v>229</v>
      </c>
      <c r="C18" s="8"/>
    </row>
    <row r="19" customFormat="false" ht="19.5" hidden="false" customHeight="true" outlineLevel="0" collapsed="false">
      <c r="B19" s="8" t="s">
        <v>230</v>
      </c>
      <c r="C19" s="8"/>
    </row>
    <row r="20" customFormat="false" ht="19.5" hidden="false" customHeight="true" outlineLevel="0" collapsed="false">
      <c r="B20" s="8"/>
      <c r="C20" s="8"/>
    </row>
    <row r="21" customFormat="false" ht="19.5" hidden="false" customHeight="true" outlineLevel="0" collapsed="false">
      <c r="B21" s="8" t="s">
        <v>231</v>
      </c>
      <c r="C21" s="8"/>
    </row>
    <row r="22" customFormat="false" ht="7.5" hidden="false" customHeight="true" outlineLevel="0" collapsed="false"/>
    <row r="23" customFormat="false" ht="24" hidden="false" customHeight="true" outlineLevel="0" collapsed="false">
      <c r="B23" s="65" t="s">
        <v>232</v>
      </c>
      <c r="C23" s="65"/>
    </row>
    <row r="24" customFormat="false" ht="19.5" hidden="false" customHeight="true" outlineLevel="0" collapsed="false">
      <c r="B24" s="8" t="s">
        <v>233</v>
      </c>
      <c r="C24" s="8"/>
    </row>
    <row r="25" customFormat="false" ht="19.5" hidden="false" customHeight="true" outlineLevel="0" collapsed="false">
      <c r="B25" s="8"/>
      <c r="C25" s="8"/>
    </row>
    <row r="26" customFormat="false" ht="19.5" hidden="false" customHeight="true" outlineLevel="0" collapsed="false">
      <c r="B26" s="8" t="s">
        <v>234</v>
      </c>
      <c r="C26" s="8"/>
    </row>
    <row r="27" customFormat="false" ht="19.5" hidden="false" customHeight="true" outlineLevel="0" collapsed="false">
      <c r="B27" s="8" t="s">
        <v>235</v>
      </c>
      <c r="C27" s="8"/>
    </row>
    <row r="28" customFormat="false" ht="7.5" hidden="false" customHeight="true" outlineLevel="0" collapsed="false"/>
    <row r="29" customFormat="false" ht="24" hidden="false" customHeight="true" outlineLevel="0" collapsed="false">
      <c r="B29" s="65" t="s">
        <v>236</v>
      </c>
      <c r="C29" s="65"/>
    </row>
    <row r="30" customFormat="false" ht="19.5" hidden="false" customHeight="true" outlineLevel="0" collapsed="false">
      <c r="B30" s="8" t="s">
        <v>237</v>
      </c>
      <c r="C30" s="8"/>
    </row>
    <row r="31" customFormat="false" ht="7.5" hidden="false" customHeight="true" outlineLevel="0" collapsed="false"/>
    <row r="32" customFormat="false" ht="24" hidden="false" customHeight="true" outlineLevel="0" collapsed="false">
      <c r="B32" s="65" t="s">
        <v>238</v>
      </c>
      <c r="C32" s="65"/>
    </row>
    <row r="33" customFormat="false" ht="19.5" hidden="false" customHeight="true" outlineLevel="0" collapsed="false">
      <c r="B33" s="8" t="s">
        <v>239</v>
      </c>
      <c r="C33" s="8"/>
    </row>
    <row r="34" customFormat="false" ht="19.5" hidden="false" customHeight="true" outlineLevel="0" collapsed="false">
      <c r="B34" s="8" t="s">
        <v>240</v>
      </c>
      <c r="C34" s="8"/>
    </row>
    <row r="35" customFormat="false" ht="19.5" hidden="false" customHeight="true" outlineLevel="0" collapsed="false">
      <c r="B35" s="8" t="s">
        <v>241</v>
      </c>
      <c r="C35" s="8"/>
    </row>
    <row r="36" customFormat="false" ht="19.5" hidden="false" customHeight="true" outlineLevel="0" collapsed="false">
      <c r="B36" s="8" t="s">
        <v>242</v>
      </c>
      <c r="C36" s="8"/>
    </row>
    <row r="37" customFormat="false" ht="7.5" hidden="false" customHeight="true" outlineLevel="0" collapsed="false"/>
    <row r="38" customFormat="false" ht="24" hidden="false" customHeight="true" outlineLevel="0" collapsed="false">
      <c r="B38" s="65" t="s">
        <v>243</v>
      </c>
      <c r="C38" s="65"/>
    </row>
    <row r="39" customFormat="false" ht="19.5" hidden="false" customHeight="true" outlineLevel="0" collapsed="false">
      <c r="B39" s="8" t="s">
        <v>244</v>
      </c>
      <c r="C39" s="8"/>
    </row>
    <row r="40" customFormat="false" ht="19.5" hidden="false" customHeight="true" outlineLevel="0" collapsed="false">
      <c r="B40" s="8" t="s">
        <v>245</v>
      </c>
      <c r="C40" s="8"/>
    </row>
    <row r="41" customFormat="false" ht="19.5" hidden="false" customHeight="true" outlineLevel="0" collapsed="false">
      <c r="B41" s="8" t="s">
        <v>246</v>
      </c>
      <c r="C41" s="8"/>
    </row>
    <row r="42" customFormat="false" ht="19.5" hidden="false" customHeight="true" outlineLevel="0" collapsed="false">
      <c r="B42" s="8" t="s">
        <v>247</v>
      </c>
      <c r="C42" s="8"/>
    </row>
  </sheetData>
  <mergeCells count="33">
    <mergeCell ref="B1:C1"/>
    <mergeCell ref="B3:C3"/>
    <mergeCell ref="B4:C4"/>
    <mergeCell ref="B6:C6"/>
    <mergeCell ref="B7:C7"/>
    <mergeCell ref="B9:C9"/>
    <mergeCell ref="B10:C10"/>
    <mergeCell ref="B12:C12"/>
    <mergeCell ref="B13:C13"/>
    <mergeCell ref="B15:C15"/>
    <mergeCell ref="B16:C16"/>
    <mergeCell ref="B17:C17"/>
    <mergeCell ref="B18:C18"/>
    <mergeCell ref="B19:C19"/>
    <mergeCell ref="B20:C20"/>
    <mergeCell ref="B21:C21"/>
    <mergeCell ref="B23:C23"/>
    <mergeCell ref="B24:C24"/>
    <mergeCell ref="B25:C25"/>
    <mergeCell ref="B26:C26"/>
    <mergeCell ref="B27:C27"/>
    <mergeCell ref="B29:C29"/>
    <mergeCell ref="B30:C30"/>
    <mergeCell ref="B32:C32"/>
    <mergeCell ref="B33:C33"/>
    <mergeCell ref="B34:C34"/>
    <mergeCell ref="B35:C35"/>
    <mergeCell ref="B36:C36"/>
    <mergeCell ref="B38:C38"/>
    <mergeCell ref="B39:C39"/>
    <mergeCell ref="B40:C40"/>
    <mergeCell ref="B41:C41"/>
    <mergeCell ref="B42:C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2026-04-15T07:30:28Z</dcterms:created>
  <dc:creator>openpyxl</dc:creator>
  <dc:description/>
  <dc:language>en-US</dc:language>
  <cp:lastModifiedBy/>
  <dcterms:modified xsi:type="dcterms:W3CDTF">2026-04-15T07:30:28Z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