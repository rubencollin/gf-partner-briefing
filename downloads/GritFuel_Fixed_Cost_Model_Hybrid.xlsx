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st Model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<sst xmlns="http://schemas.openxmlformats.org/spreadsheetml/2006/main" count="143" uniqueCount="70">
  <si>
    <t xml:space="preserve">GritFuel · Fixed Item Cost Model  —  Hybrid Scenario</t>
  </si>
  <si>
    <t xml:space="preserve">Price increases applied · Selected deliverables reclassified as credit-funded · All figures EUR/month</t>
  </si>
  <si>
    <t xml:space="preserve">RATE ASSUMPTIONS</t>
  </si>
  <si>
    <t xml:space="preserve">Always included (fixed delivery cost)</t>
  </si>
  <si>
    <t xml:space="preserve">Resource</t>
  </si>
  <si>
    <t xml:space="preserve">Rate (€/hr)</t>
  </si>
  <si>
    <t xml:space="preserve">Note</t>
  </si>
  <si>
    <t xml:space="preserve">Reclassified → credit-funded (removed from fixed cost)</t>
  </si>
  <si>
    <t xml:space="preserve">Strategist (lead / CMO-level)</t>
  </si>
  <si>
    <t xml:space="preserve">Client-facing sessions, playbook, strategic oversight</t>
  </si>
  <si>
    <t xml:space="preserve">Specialist coordination</t>
  </si>
  <si>
    <t xml:space="preserve">Other (ops / junior / data)</t>
  </si>
  <si>
    <t xml:space="preserve">Dashboard updates, engine runs, specialist coordination</t>
  </si>
  <si>
    <t xml:space="preserve">Yellow = key assumption / input</t>
  </si>
  <si>
    <t xml:space="preserve">CORE  ·  €3,500/month  ·  70 credits  [UNCHANGED]</t>
  </si>
  <si>
    <t xml:space="preserve">GROWTH  ·  €5,250/month  ·  110 credits  [+€250]</t>
  </si>
  <si>
    <t xml:space="preserve">PERFORMANCE  ·  €8,000/month  ·  180 credits  [+€500]</t>
  </si>
  <si>
    <t xml:space="preserve">Fixed Item</t>
  </si>
  <si>
    <t xml:space="preserve">Hrs</t>
  </si>
  <si>
    <t xml:space="preserve">Cost (€)</t>
  </si>
  <si>
    <t xml:space="preserve">Monthly strategy session (1 × 60 min)</t>
  </si>
  <si>
    <t xml:space="preserve">Strategist</t>
  </si>
  <si>
    <t xml:space="preserve">Bi-weekly alignment (2 × 60 min)</t>
  </si>
  <si>
    <t xml:space="preserve">Weekly growth review (4 × 60 min)</t>
  </si>
  <si>
    <t xml:space="preserve">On-demand support (1.5 hrs/month)</t>
  </si>
  <si>
    <t xml:space="preserve">On-demand support (3 hrs/month)</t>
  </si>
  <si>
    <t xml:space="preserve">On-demand support (6 hrs/month)</t>
  </si>
  <si>
    <t xml:space="preserve">Monthly Growth Playbook (prep + write-up)</t>
  </si>
  <si>
    <t xml:space="preserve">Live growth dashboard (monthly update)</t>
  </si>
  <si>
    <t xml:space="preserve">Other</t>
  </si>
  <si>
    <t xml:space="preserve">Compounding engine (run + review)</t>
  </si>
  <si>
    <t xml:space="preserve">Ongoing brand &amp; messaging guidance</t>
  </si>
  <si>
    <t xml:space="preserve">Specialist coordination (back-end routing)</t>
  </si>
  <si>
    <t xml:space="preserve">Fractional CMO oversight</t>
  </si>
  <si>
    <t xml:space="preserve">  Session time cost</t>
  </si>
  <si>
    <t xml:space="preserve">⇢ Structured growth experiments</t>
  </si>
  <si>
    <t xml:space="preserve">⇢ Senior strategic intensity</t>
  </si>
  <si>
    <t xml:space="preserve">  Other fixed item cost</t>
  </si>
  <si>
    <t xml:space="preserve">⇢ Multi-channel orchestration (3+ channels)</t>
  </si>
  <si>
    <t xml:space="preserve">⇢ Advanced testing architecture</t>
  </si>
  <si>
    <t xml:space="preserve">  Specialist coordination</t>
  </si>
  <si>
    <t xml:space="preserve">Direct specialist briefing (brand + perf)</t>
  </si>
  <si>
    <t xml:space="preserve">⇢ Forecasting &amp; growth modelling</t>
  </si>
  <si>
    <t xml:space="preserve">  ⇢ Reclassified (credit-funded, not in fixed)</t>
  </si>
  <si>
    <t xml:space="preserve">Direct specialist briefing (brand+perf+events)</t>
  </si>
  <si>
    <t xml:space="preserve">TOTAL FIXED DELIVERY COST</t>
  </si>
  <si>
    <t xml:space="preserve">COMMERCIAL SUMMARY</t>
  </si>
  <si>
    <t xml:space="preserve">Subscription revenue</t>
  </si>
  <si>
    <t xml:space="preserve">  — Credit pool value</t>
  </si>
  <si>
    <t xml:space="preserve">  — Fixed item revenue</t>
  </si>
  <si>
    <t xml:space="preserve">Fixed delivery cost</t>
  </si>
  <si>
    <t xml:space="preserve">Gross margin (€)</t>
  </si>
  <si>
    <t xml:space="preserve">Gross margin (%)</t>
  </si>
  <si>
    <t xml:space="preserve">GritFuel · Hybrid Scenario — Commercial Summary</t>
  </si>
  <si>
    <t xml:space="preserve">Strategist €120/hr · Other €80/hr · Reclassified items shown separately</t>
  </si>
  <si>
    <t xml:space="preserve">Core</t>
  </si>
  <si>
    <t xml:space="preserve">Growth</t>
  </si>
  <si>
    <t xml:space="preserve">Performance</t>
  </si>
  <si>
    <t xml:space="preserve">REVENUE</t>
  </si>
  <si>
    <t xml:space="preserve">Subscription revenue (total)</t>
  </si>
  <si>
    <t xml:space="preserve">Credits included</t>
  </si>
  <si>
    <t xml:space="preserve">COST BREAKDOWN</t>
  </si>
  <si>
    <t xml:space="preserve">Session time cost</t>
  </si>
  <si>
    <t xml:space="preserve">Other fixed item cost</t>
  </si>
  <si>
    <t xml:space="preserve">Reclassified → credit-funded</t>
  </si>
  <si>
    <t xml:space="preserve">Total fixed delivery cost</t>
  </si>
  <si>
    <t xml:space="preserve">MARGIN</t>
  </si>
  <si>
    <t xml:space="preserve">HOURS</t>
  </si>
  <si>
    <t xml:space="preserve">Total hrs/month (fixed items)</t>
  </si>
  <si>
    <t xml:space="preserve">Note: 'Reclassified → credit-funded' items are still delivered for clients but funded from the credit pool, not the fixed subscription cost. They appear here for transparency — this cost is covered by credit margin, not shown in this model. Blue = adjustable input. Yellow = key commercial assumption.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</si>
</sst>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€#,##0;&quot;(€&quot;#,##0\);\-"/>
    <numFmt numFmtId="166" formatCode="0.0"/>
    <numFmt numFmtId="167" formatCode="0%"/>
    <numFmt numFmtId="168" formatCode="#,##0;\(#,##0\);\-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AAAAAA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8"/>
      <color rgb="FF1A1A1A"/>
      <name val="Arial"/>
      <family val="0"/>
      <charset val="1"/>
    </font>
    <font>
      <b val="true"/>
      <sz val="8"/>
      <color rgb="FF1A1A1A"/>
      <name val="Arial"/>
      <family val="0"/>
      <charset val="1"/>
    </font>
    <font>
      <sz val="8"/>
      <color rgb="FFCC6600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0000FF"/>
      <name val="Arial"/>
      <family val="0"/>
      <charset val="1"/>
    </font>
    <font>
      <i val="true"/>
      <sz val="8"/>
      <color rgb="FFAAAAA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1A1A1A"/>
      <name val="Arial"/>
      <family val="0"/>
      <charset val="1"/>
    </font>
    <font>
      <sz val="8"/>
      <color rgb="FFAAAAAA"/>
      <name val="Arial"/>
      <family val="0"/>
      <charset val="1"/>
    </font>
    <font>
      <i val="true"/>
      <sz val="9"/>
      <color rgb="FFCC6600"/>
      <name val="Arial"/>
      <family val="0"/>
      <charset val="1"/>
    </font>
    <font>
      <sz val="9"/>
      <color rgb="FFCC6600"/>
      <name val="Arial"/>
      <family val="0"/>
      <charset val="1"/>
    </font>
    <font>
      <b val="true"/>
      <sz val="10"/>
      <color rgb="FFC8E000"/>
      <name val="Arial"/>
      <family val="0"/>
      <charset val="1"/>
    </font>
    <font>
      <b val="true"/>
      <sz val="9"/>
      <color rgb="FF1A1A1A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EEF3FF"/>
        <bgColor rgb="FFF2F2EE"/>
      </patternFill>
    </fill>
    <fill>
      <patternFill patternType="solid">
        <fgColor rgb="FFE4E4E0"/>
        <bgColor rgb="FFF2F2EE"/>
      </patternFill>
    </fill>
    <fill>
      <patternFill patternType="solid">
        <fgColor rgb="FFFFF8E1"/>
        <bgColor rgb="FFFFF3EB"/>
      </patternFill>
    </fill>
    <fill>
      <patternFill patternType="solid">
        <fgColor rgb="FFF2F2EE"/>
        <bgColor rgb="FFEEF3FF"/>
      </patternFill>
    </fill>
    <fill>
      <patternFill patternType="solid">
        <fgColor rgb="FFFFFF00"/>
        <bgColor rgb="FFFFFF00"/>
      </patternFill>
    </fill>
    <fill>
      <patternFill patternType="solid">
        <fgColor rgb="FFFFF3EB"/>
        <bgColor rgb="FFFFF8E1"/>
      </patternFill>
    </fill>
    <fill>
      <patternFill patternType="solid">
        <fgColor rgb="FFF0F7CC"/>
        <bgColor rgb="FFFFF8E1"/>
      </patternFill>
    </fill>
    <fill>
      <patternFill patternType="solid">
        <fgColor rgb="FFF9F9F7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1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8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1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4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9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5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1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4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8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5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1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4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5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9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1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6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7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1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0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9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4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4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1" fillId="6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2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14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19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2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4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4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1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1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1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4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E1"/>
      <rgbColor rgb="FFEEF3FF"/>
      <rgbColor rgb="FF660066"/>
      <rgbColor rgb="FFFF8080"/>
      <rgbColor rgb="FF0066CC"/>
      <rgbColor rgb="FFE4E4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EE"/>
      <rgbColor rgb="FFF9F9F7"/>
      <rgbColor rgb="FFF0F7CC"/>
      <rgbColor rgb="FF99CCFF"/>
      <rgbColor rgb="FFFF99CC"/>
      <rgbColor rgb="FFCC99FF"/>
      <rgbColor rgb="FFFFF3EB"/>
      <rgbColor rgb="FF3366FF"/>
      <rgbColor rgb="FF33CCCC"/>
      <rgbColor rgb="FFC8E000"/>
      <rgbColor rgb="FFFFCC00"/>
      <rgbColor rgb="FFFF9900"/>
      <rgbColor rgb="FFCC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7"/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2"/>
    <col collapsed="false" customWidth="true" hidden="false" outlineLevel="0" max="6" min="6" style="0" width="37"/>
    <col collapsed="false" customWidth="true" hidden="false" outlineLevel="0" max="7" min="7" style="0" width="16"/>
    <col collapsed="false" customWidth="true" hidden="false" outlineLevel="0" max="8" min="8" style="0" width="8"/>
    <col collapsed="false" customWidth="true" hidden="false" outlineLevel="0" max="9" min="9" style="0" width="12"/>
    <col collapsed="false" customWidth="true" hidden="false" outlineLevel="0" max="10" min="10" style="0" width="2"/>
    <col collapsed="false" customWidth="true" hidden="false" outlineLevel="0" max="11" min="11" style="0" width="37"/>
    <col collapsed="false" customWidth="true" hidden="false" outlineLevel="0" max="12" min="12" style="0" width="16"/>
    <col collapsed="false" customWidth="true" hidden="false" outlineLevel="0" max="13" min="13" style="0" width="8"/>
    <col collapsed="false" customWidth="true" hidden="false" outlineLevel="0" max="14" min="14" style="0" width="12"/>
    <col collapsed="false" customWidth="true" hidden="false" outlineLevel="0" max="18" min="15" style="0" width="2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13.5" hidden="false" customHeight="true" outlineLevel="0" collapsed="false">
      <c r="A4" s="3" t="s">
        <v>2</v>
      </c>
      <c r="B4" s="3"/>
      <c r="C4" s="3"/>
      <c r="D4" s="3"/>
      <c r="F4" s="4" t="s">
        <v>3</v>
      </c>
      <c r="G4" s="4"/>
      <c r="H4" s="4"/>
      <c r="I4" s="4"/>
    </row>
    <row r="5" customFormat="false" ht="13.5" hidden="false" customHeight="true" outlineLevel="0" collapsed="false">
      <c r="A5" s="5" t="s">
        <v>4</v>
      </c>
      <c r="B5" s="5" t="s">
        <v>5</v>
      </c>
      <c r="C5" s="5"/>
      <c r="D5" s="5" t="s">
        <v>6</v>
      </c>
      <c r="F5" s="6" t="s">
        <v>7</v>
      </c>
      <c r="G5" s="6"/>
      <c r="H5" s="6"/>
      <c r="I5" s="6"/>
    </row>
    <row r="6" customFormat="false" ht="13.5" hidden="false" customHeight="true" outlineLevel="0" collapsed="false">
      <c r="A6" s="7" t="s">
        <v>8</v>
      </c>
      <c r="B6" s="8" t="n">
        <v>120</v>
      </c>
      <c r="D6" s="9" t="s">
        <v>9</v>
      </c>
      <c r="F6" s="10" t="s">
        <v>10</v>
      </c>
      <c r="G6" s="10"/>
      <c r="H6" s="10"/>
      <c r="I6" s="10"/>
    </row>
    <row r="7" customFormat="false" ht="13.5" hidden="false" customHeight="true" outlineLevel="0" collapsed="false">
      <c r="A7" s="7" t="s">
        <v>11</v>
      </c>
      <c r="B7" s="8" t="n">
        <v>80</v>
      </c>
      <c r="D7" s="9" t="s">
        <v>12</v>
      </c>
      <c r="F7" s="11" t="s">
        <v>13</v>
      </c>
      <c r="G7" s="11"/>
      <c r="H7" s="11"/>
      <c r="I7" s="11"/>
    </row>
    <row r="8" customFormat="false" ht="21.75" hidden="false" customHeight="true" outlineLevel="0" collapsed="false">
      <c r="A8" s="12" t="s">
        <v>14</v>
      </c>
      <c r="B8" s="12"/>
      <c r="C8" s="12"/>
      <c r="D8" s="12"/>
      <c r="F8" s="12" t="s">
        <v>15</v>
      </c>
      <c r="G8" s="12"/>
      <c r="H8" s="12"/>
      <c r="I8" s="12"/>
      <c r="K8" s="12" t="s">
        <v>16</v>
      </c>
      <c r="L8" s="12"/>
      <c r="M8" s="12"/>
      <c r="N8" s="12"/>
    </row>
    <row r="9" customFormat="false" ht="15" hidden="false" customHeight="true" outlineLevel="0" collapsed="false">
      <c r="A9" s="13" t="s">
        <v>17</v>
      </c>
      <c r="B9" s="5" t="s">
        <v>4</v>
      </c>
      <c r="C9" s="14" t="s">
        <v>18</v>
      </c>
      <c r="D9" s="14" t="s">
        <v>19</v>
      </c>
      <c r="F9" s="13" t="s">
        <v>17</v>
      </c>
      <c r="G9" s="5" t="s">
        <v>4</v>
      </c>
      <c r="H9" s="14" t="s">
        <v>18</v>
      </c>
      <c r="I9" s="14" t="s">
        <v>19</v>
      </c>
      <c r="K9" s="13" t="s">
        <v>17</v>
      </c>
      <c r="L9" s="5" t="s">
        <v>4</v>
      </c>
      <c r="M9" s="14" t="s">
        <v>18</v>
      </c>
      <c r="N9" s="14" t="s">
        <v>19</v>
      </c>
    </row>
    <row r="10" customFormat="false" ht="15" hidden="false" customHeight="true" outlineLevel="0" collapsed="false">
      <c r="A10" s="15" t="s">
        <v>20</v>
      </c>
      <c r="B10" s="16" t="s">
        <v>21</v>
      </c>
      <c r="C10" s="17" t="n">
        <v>1</v>
      </c>
      <c r="D10" s="18" t="n">
        <f aca="false">C10*$B$6</f>
        <v>120</v>
      </c>
      <c r="F10" s="15" t="s">
        <v>22</v>
      </c>
      <c r="G10" s="16" t="s">
        <v>21</v>
      </c>
      <c r="H10" s="17" t="n">
        <v>2</v>
      </c>
      <c r="I10" s="18" t="n">
        <f aca="false">H10*$B$6</f>
        <v>240</v>
      </c>
      <c r="K10" s="15" t="s">
        <v>23</v>
      </c>
      <c r="L10" s="16" t="s">
        <v>21</v>
      </c>
      <c r="M10" s="17" t="n">
        <v>4</v>
      </c>
      <c r="N10" s="18" t="n">
        <f aca="false">M10*$B$6</f>
        <v>480</v>
      </c>
    </row>
    <row r="11" customFormat="false" ht="15" hidden="false" customHeight="true" outlineLevel="0" collapsed="false">
      <c r="A11" s="15" t="s">
        <v>24</v>
      </c>
      <c r="B11" s="16" t="s">
        <v>21</v>
      </c>
      <c r="C11" s="17" t="n">
        <v>1.5</v>
      </c>
      <c r="D11" s="18" t="n">
        <f aca="false">C11*$B$6</f>
        <v>180</v>
      </c>
      <c r="F11" s="15" t="s">
        <v>25</v>
      </c>
      <c r="G11" s="16" t="s">
        <v>21</v>
      </c>
      <c r="H11" s="17" t="n">
        <v>3</v>
      </c>
      <c r="I11" s="18" t="n">
        <f aca="false">H11*$B$6</f>
        <v>360</v>
      </c>
      <c r="K11" s="15" t="s">
        <v>26</v>
      </c>
      <c r="L11" s="16" t="s">
        <v>21</v>
      </c>
      <c r="M11" s="17" t="n">
        <v>6</v>
      </c>
      <c r="N11" s="18" t="n">
        <f aca="false">M11*$B$6</f>
        <v>720</v>
      </c>
    </row>
    <row r="12" customFormat="false" ht="15" hidden="false" customHeight="true" outlineLevel="0" collapsed="false">
      <c r="A12" s="19" t="s">
        <v>27</v>
      </c>
      <c r="B12" s="20" t="s">
        <v>21</v>
      </c>
      <c r="C12" s="21" t="n">
        <v>2.5</v>
      </c>
      <c r="D12" s="22" t="n">
        <f aca="false">C12*$B$6</f>
        <v>300</v>
      </c>
      <c r="F12" s="19" t="s">
        <v>27</v>
      </c>
      <c r="G12" s="20" t="s">
        <v>21</v>
      </c>
      <c r="H12" s="21" t="n">
        <v>2.5</v>
      </c>
      <c r="I12" s="22" t="n">
        <f aca="false">H12*$B$6</f>
        <v>300</v>
      </c>
      <c r="K12" s="19" t="s">
        <v>27</v>
      </c>
      <c r="L12" s="20" t="s">
        <v>21</v>
      </c>
      <c r="M12" s="21" t="n">
        <v>2.5</v>
      </c>
      <c r="N12" s="22" t="n">
        <f aca="false">M12*$B$6</f>
        <v>300</v>
      </c>
    </row>
    <row r="13" customFormat="false" ht="15" hidden="false" customHeight="true" outlineLevel="0" collapsed="false">
      <c r="A13" s="19" t="s">
        <v>28</v>
      </c>
      <c r="B13" s="20" t="s">
        <v>29</v>
      </c>
      <c r="C13" s="21" t="n">
        <v>1</v>
      </c>
      <c r="D13" s="22" t="n">
        <f aca="false">C13*$B$7</f>
        <v>80</v>
      </c>
      <c r="F13" s="19" t="s">
        <v>28</v>
      </c>
      <c r="G13" s="20" t="s">
        <v>29</v>
      </c>
      <c r="H13" s="21" t="n">
        <v>1</v>
      </c>
      <c r="I13" s="22" t="n">
        <f aca="false">H13*$B$7</f>
        <v>80</v>
      </c>
      <c r="K13" s="19" t="s">
        <v>28</v>
      </c>
      <c r="L13" s="20" t="s">
        <v>29</v>
      </c>
      <c r="M13" s="21" t="n">
        <v>1</v>
      </c>
      <c r="N13" s="22" t="n">
        <f aca="false">M13*$B$7</f>
        <v>80</v>
      </c>
    </row>
    <row r="14" customFormat="false" ht="15" hidden="false" customHeight="true" outlineLevel="0" collapsed="false">
      <c r="A14" s="19" t="s">
        <v>30</v>
      </c>
      <c r="B14" s="20" t="s">
        <v>29</v>
      </c>
      <c r="C14" s="21" t="n">
        <v>0.5</v>
      </c>
      <c r="D14" s="22" t="n">
        <f aca="false">C14*$B$7</f>
        <v>40</v>
      </c>
      <c r="F14" s="19" t="s">
        <v>30</v>
      </c>
      <c r="G14" s="20" t="s">
        <v>29</v>
      </c>
      <c r="H14" s="21" t="n">
        <v>0.5</v>
      </c>
      <c r="I14" s="22" t="n">
        <f aca="false">H14*$B$7</f>
        <v>40</v>
      </c>
      <c r="K14" s="19" t="s">
        <v>30</v>
      </c>
      <c r="L14" s="20" t="s">
        <v>29</v>
      </c>
      <c r="M14" s="21" t="n">
        <v>0.5</v>
      </c>
      <c r="N14" s="22" t="n">
        <f aca="false">M14*$B$7</f>
        <v>40</v>
      </c>
    </row>
    <row r="15" customFormat="false" ht="15" hidden="false" customHeight="true" outlineLevel="0" collapsed="false">
      <c r="A15" s="19" t="s">
        <v>31</v>
      </c>
      <c r="B15" s="20" t="s">
        <v>21</v>
      </c>
      <c r="C15" s="21" t="n">
        <v>0.5</v>
      </c>
      <c r="D15" s="22" t="n">
        <f aca="false">C15*$B$6</f>
        <v>60</v>
      </c>
      <c r="F15" s="19" t="s">
        <v>31</v>
      </c>
      <c r="G15" s="20" t="s">
        <v>21</v>
      </c>
      <c r="H15" s="21" t="n">
        <v>0.5</v>
      </c>
      <c r="I15" s="22" t="n">
        <f aca="false">H15*$B$6</f>
        <v>60</v>
      </c>
      <c r="K15" s="19" t="s">
        <v>31</v>
      </c>
      <c r="L15" s="20" t="s">
        <v>21</v>
      </c>
      <c r="M15" s="21" t="n">
        <v>0.5</v>
      </c>
      <c r="N15" s="22" t="n">
        <f aca="false">M15*$B$6</f>
        <v>60</v>
      </c>
    </row>
    <row r="16" customFormat="false" ht="15" hidden="false" customHeight="true" outlineLevel="0" collapsed="false">
      <c r="A16" s="23" t="s">
        <v>32</v>
      </c>
      <c r="B16" s="24" t="s">
        <v>29</v>
      </c>
      <c r="C16" s="25" t="n">
        <v>0.5</v>
      </c>
      <c r="D16" s="26" t="n">
        <f aca="false">C16*$B$7</f>
        <v>40</v>
      </c>
      <c r="F16" s="19" t="s">
        <v>33</v>
      </c>
      <c r="G16" s="20" t="s">
        <v>21</v>
      </c>
      <c r="H16" s="21" t="n">
        <v>2</v>
      </c>
      <c r="I16" s="22" t="n">
        <f aca="false">H16*$B$6</f>
        <v>240</v>
      </c>
      <c r="K16" s="19" t="s">
        <v>33</v>
      </c>
      <c r="L16" s="20" t="s">
        <v>21</v>
      </c>
      <c r="M16" s="21" t="n">
        <v>2</v>
      </c>
      <c r="N16" s="22" t="n">
        <f aca="false">M16*$B$6</f>
        <v>240</v>
      </c>
    </row>
    <row r="17" customFormat="false" ht="15" hidden="false" customHeight="true" outlineLevel="0" collapsed="false">
      <c r="A17" s="27" t="s">
        <v>34</v>
      </c>
      <c r="B17" s="27"/>
      <c r="C17" s="27"/>
      <c r="D17" s="18" t="n">
        <f aca="false">SUM(D10,D11)</f>
        <v>300</v>
      </c>
      <c r="F17" s="28" t="s">
        <v>35</v>
      </c>
      <c r="G17" s="29" t="s">
        <v>21</v>
      </c>
      <c r="H17" s="30" t="n">
        <v>1.5</v>
      </c>
      <c r="I17" s="31" t="n">
        <f aca="false">H17*$B$6</f>
        <v>180</v>
      </c>
      <c r="K17" s="28" t="s">
        <v>36</v>
      </c>
      <c r="L17" s="29" t="s">
        <v>21</v>
      </c>
      <c r="M17" s="30" t="n">
        <v>2</v>
      </c>
      <c r="N17" s="31" t="n">
        <f aca="false">M17*$B$6</f>
        <v>240</v>
      </c>
    </row>
    <row r="18" customFormat="false" ht="15" hidden="false" customHeight="true" outlineLevel="0" collapsed="false">
      <c r="A18" s="32" t="s">
        <v>37</v>
      </c>
      <c r="B18" s="32"/>
      <c r="C18" s="32"/>
      <c r="D18" s="22" t="n">
        <f aca="false">SUM(D12,D13,D14,D15)</f>
        <v>480</v>
      </c>
      <c r="F18" s="28" t="s">
        <v>38</v>
      </c>
      <c r="G18" s="29" t="s">
        <v>21</v>
      </c>
      <c r="H18" s="30" t="n">
        <v>1.5</v>
      </c>
      <c r="I18" s="31" t="n">
        <f aca="false">H18*$B$6</f>
        <v>180</v>
      </c>
      <c r="K18" s="28" t="s">
        <v>39</v>
      </c>
      <c r="L18" s="29" t="s">
        <v>21</v>
      </c>
      <c r="M18" s="30" t="n">
        <v>1.5</v>
      </c>
      <c r="N18" s="31" t="n">
        <f aca="false">M18*$B$6</f>
        <v>180</v>
      </c>
    </row>
    <row r="19" customFormat="false" ht="15" hidden="false" customHeight="true" outlineLevel="0" collapsed="false">
      <c r="A19" s="33" t="s">
        <v>40</v>
      </c>
      <c r="B19" s="33"/>
      <c r="C19" s="33"/>
      <c r="D19" s="26" t="n">
        <f aca="false">SUM(D16)</f>
        <v>40</v>
      </c>
      <c r="F19" s="23" t="s">
        <v>41</v>
      </c>
      <c r="G19" s="24" t="s">
        <v>29</v>
      </c>
      <c r="H19" s="25" t="n">
        <v>1</v>
      </c>
      <c r="I19" s="26" t="n">
        <f aca="false">H19*$B$7</f>
        <v>80</v>
      </c>
      <c r="K19" s="28" t="s">
        <v>42</v>
      </c>
      <c r="L19" s="29" t="s">
        <v>21</v>
      </c>
      <c r="M19" s="30" t="n">
        <v>2</v>
      </c>
      <c r="N19" s="31" t="n">
        <f aca="false">M19*$B$6</f>
        <v>240</v>
      </c>
    </row>
    <row r="20" customFormat="false" ht="15" hidden="false" customHeight="true" outlineLevel="0" collapsed="false">
      <c r="A20" s="34" t="s">
        <v>43</v>
      </c>
      <c r="B20" s="34"/>
      <c r="C20" s="34"/>
      <c r="D20" s="35" t="n">
        <v>0</v>
      </c>
      <c r="F20" s="27" t="s">
        <v>34</v>
      </c>
      <c r="G20" s="27"/>
      <c r="H20" s="27"/>
      <c r="I20" s="18" t="n">
        <f aca="false">SUM(I10,I11)</f>
        <v>600</v>
      </c>
      <c r="K20" s="23" t="s">
        <v>44</v>
      </c>
      <c r="L20" s="24" t="s">
        <v>29</v>
      </c>
      <c r="M20" s="25" t="n">
        <v>1.5</v>
      </c>
      <c r="N20" s="26" t="n">
        <f aca="false">M20*$B$7</f>
        <v>120</v>
      </c>
    </row>
    <row r="21" customFormat="false" ht="15.75" hidden="false" customHeight="true" outlineLevel="0" collapsed="false">
      <c r="A21" s="12" t="s">
        <v>45</v>
      </c>
      <c r="B21" s="12"/>
      <c r="C21" s="12"/>
      <c r="D21" s="36" t="n">
        <f aca="false">D17+D18+D19</f>
        <v>820</v>
      </c>
      <c r="F21" s="32" t="s">
        <v>37</v>
      </c>
      <c r="G21" s="32"/>
      <c r="H21" s="32"/>
      <c r="I21" s="22" t="n">
        <f aca="false">SUM(I12,I13,I14,I15,I16)</f>
        <v>720</v>
      </c>
      <c r="K21" s="27" t="s">
        <v>34</v>
      </c>
      <c r="L21" s="27"/>
      <c r="M21" s="27"/>
      <c r="N21" s="18" t="n">
        <f aca="false">SUM(N10,N11)</f>
        <v>1200</v>
      </c>
    </row>
    <row r="22" customFormat="false" ht="15.75" hidden="false" customHeight="true" outlineLevel="0" collapsed="false">
      <c r="F22" s="33" t="s">
        <v>40</v>
      </c>
      <c r="G22" s="33"/>
      <c r="H22" s="33"/>
      <c r="I22" s="26" t="n">
        <f aca="false">SUM(I19)</f>
        <v>80</v>
      </c>
      <c r="K22" s="32" t="s">
        <v>37</v>
      </c>
      <c r="L22" s="32"/>
      <c r="M22" s="32"/>
      <c r="N22" s="22" t="n">
        <f aca="false">SUM(N12,N13,N14,N15,N16)</f>
        <v>720</v>
      </c>
    </row>
    <row r="23" customFormat="false" ht="15.75" hidden="false" customHeight="true" outlineLevel="0" collapsed="false">
      <c r="A23" s="37" t="s">
        <v>46</v>
      </c>
      <c r="B23" s="37"/>
      <c r="C23" s="37"/>
      <c r="D23" s="37"/>
      <c r="F23" s="34" t="s">
        <v>43</v>
      </c>
      <c r="G23" s="34"/>
      <c r="H23" s="34"/>
      <c r="I23" s="35" t="n">
        <f aca="false">SUM(I17,I18)</f>
        <v>360</v>
      </c>
      <c r="K23" s="33" t="s">
        <v>40</v>
      </c>
      <c r="L23" s="33"/>
      <c r="M23" s="33"/>
      <c r="N23" s="26" t="n">
        <f aca="false">SUM(N20)</f>
        <v>120</v>
      </c>
    </row>
    <row r="24" customFormat="false" ht="15.75" hidden="false" customHeight="true" outlineLevel="0" collapsed="false">
      <c r="A24" s="38" t="s">
        <v>47</v>
      </c>
      <c r="B24" s="38"/>
      <c r="C24" s="38"/>
      <c r="D24" s="39" t="n">
        <v>3500</v>
      </c>
      <c r="F24" s="12" t="s">
        <v>45</v>
      </c>
      <c r="G24" s="12"/>
      <c r="H24" s="12"/>
      <c r="I24" s="36" t="n">
        <f aca="false">I20+I21+I22</f>
        <v>1400</v>
      </c>
      <c r="K24" s="34" t="s">
        <v>43</v>
      </c>
      <c r="L24" s="34"/>
      <c r="M24" s="34"/>
      <c r="N24" s="35" t="n">
        <f aca="false">SUM(N17,N18,N19)</f>
        <v>660</v>
      </c>
    </row>
    <row r="25" customFormat="false" ht="19.5" hidden="false" customHeight="true" outlineLevel="0" collapsed="false">
      <c r="A25" s="40" t="s">
        <v>48</v>
      </c>
      <c r="B25" s="40"/>
      <c r="C25" s="40"/>
      <c r="D25" s="41" t="n">
        <v>1750</v>
      </c>
      <c r="K25" s="12" t="s">
        <v>45</v>
      </c>
      <c r="L25" s="12"/>
      <c r="M25" s="12"/>
      <c r="N25" s="36" t="n">
        <f aca="false">N21+N22+N23</f>
        <v>2040</v>
      </c>
    </row>
    <row r="26" customFormat="false" ht="15.75" hidden="false" customHeight="true" outlineLevel="0" collapsed="false">
      <c r="A26" s="42" t="s">
        <v>49</v>
      </c>
      <c r="B26" s="42"/>
      <c r="C26" s="42"/>
      <c r="D26" s="8" t="n">
        <v>1750</v>
      </c>
      <c r="F26" s="37" t="s">
        <v>46</v>
      </c>
      <c r="G26" s="37"/>
      <c r="H26" s="37"/>
      <c r="I26" s="37"/>
    </row>
    <row r="27" customFormat="false" ht="15.75" hidden="false" customHeight="true" outlineLevel="0" collapsed="false">
      <c r="A27" s="40" t="s">
        <v>50</v>
      </c>
      <c r="B27" s="40"/>
      <c r="C27" s="40"/>
      <c r="D27" s="43" t="n">
        <f aca="false">D21</f>
        <v>820</v>
      </c>
      <c r="F27" s="38" t="s">
        <v>47</v>
      </c>
      <c r="G27" s="38"/>
      <c r="H27" s="38"/>
      <c r="I27" s="39" t="n">
        <v>5250</v>
      </c>
      <c r="K27" s="37" t="s">
        <v>46</v>
      </c>
      <c r="L27" s="37"/>
      <c r="M27" s="37"/>
      <c r="N27" s="37"/>
    </row>
    <row r="28" customFormat="false" ht="15" hidden="false" customHeight="true" outlineLevel="0" collapsed="false">
      <c r="A28" s="40" t="s">
        <v>51</v>
      </c>
      <c r="B28" s="40"/>
      <c r="C28" s="40"/>
      <c r="D28" s="43" t="n">
        <f aca="false">D26-D27</f>
        <v>930</v>
      </c>
      <c r="F28" s="40" t="s">
        <v>48</v>
      </c>
      <c r="G28" s="40"/>
      <c r="H28" s="40"/>
      <c r="I28" s="41" t="n">
        <v>2750</v>
      </c>
      <c r="K28" s="38" t="s">
        <v>47</v>
      </c>
      <c r="L28" s="38"/>
      <c r="M28" s="38"/>
      <c r="N28" s="39" t="n">
        <v>8000</v>
      </c>
    </row>
    <row r="29" customFormat="false" ht="15" hidden="false" customHeight="true" outlineLevel="0" collapsed="false">
      <c r="A29" s="40" t="s">
        <v>52</v>
      </c>
      <c r="B29" s="40"/>
      <c r="C29" s="40"/>
      <c r="D29" s="44" t="n">
        <f aca="false">IF(D26=0,0,D28/D26)</f>
        <v>0.531428571428572</v>
      </c>
      <c r="F29" s="42" t="s">
        <v>49</v>
      </c>
      <c r="G29" s="42"/>
      <c r="H29" s="42"/>
      <c r="I29" s="8" t="n">
        <v>2500</v>
      </c>
      <c r="K29" s="40" t="s">
        <v>48</v>
      </c>
      <c r="L29" s="40"/>
      <c r="M29" s="40"/>
      <c r="N29" s="41" t="n">
        <v>4500</v>
      </c>
    </row>
    <row r="30" customFormat="false" ht="15" hidden="false" customHeight="true" outlineLevel="0" collapsed="false">
      <c r="F30" s="40" t="s">
        <v>50</v>
      </c>
      <c r="G30" s="40"/>
      <c r="H30" s="40"/>
      <c r="I30" s="43" t="n">
        <f aca="false">I24</f>
        <v>1400</v>
      </c>
      <c r="K30" s="42" t="s">
        <v>49</v>
      </c>
      <c r="L30" s="42"/>
      <c r="M30" s="42"/>
      <c r="N30" s="8" t="n">
        <v>3500</v>
      </c>
    </row>
    <row r="31" customFormat="false" ht="15" hidden="false" customHeight="true" outlineLevel="0" collapsed="false">
      <c r="F31" s="40" t="s">
        <v>51</v>
      </c>
      <c r="G31" s="40"/>
      <c r="H31" s="40"/>
      <c r="I31" s="43" t="n">
        <f aca="false">I29-I30</f>
        <v>1100</v>
      </c>
      <c r="K31" s="40" t="s">
        <v>50</v>
      </c>
      <c r="L31" s="40"/>
      <c r="M31" s="40"/>
      <c r="N31" s="43" t="n">
        <f aca="false">N25</f>
        <v>2040</v>
      </c>
    </row>
    <row r="32" customFormat="false" ht="15" hidden="false" customHeight="true" outlineLevel="0" collapsed="false">
      <c r="F32" s="40" t="s">
        <v>52</v>
      </c>
      <c r="G32" s="40"/>
      <c r="H32" s="40"/>
      <c r="I32" s="44" t="n">
        <f aca="false">IF(I29=0,0,I31/I29)</f>
        <v>0.44</v>
      </c>
      <c r="K32" s="40" t="s">
        <v>51</v>
      </c>
      <c r="L32" s="40"/>
      <c r="M32" s="40"/>
      <c r="N32" s="43" t="n">
        <f aca="false">N30-N31</f>
        <v>1460</v>
      </c>
    </row>
    <row r="33" customFormat="false" ht="15" hidden="false" customHeight="true" outlineLevel="0" collapsed="false">
      <c r="K33" s="40" t="s">
        <v>52</v>
      </c>
      <c r="L33" s="40"/>
      <c r="M33" s="40"/>
      <c r="N33" s="44" t="n">
        <f aca="false">IF(N30=0,0,N32/N30)</f>
        <v>0.417142857142857</v>
      </c>
    </row>
  </sheetData>
  <mergeCells count="46">
    <mergeCell ref="A1:O1"/>
    <mergeCell ref="A2:O2"/>
    <mergeCell ref="A4:D4"/>
    <mergeCell ref="F4:I4"/>
    <mergeCell ref="F5:I5"/>
    <mergeCell ref="F6:I6"/>
    <mergeCell ref="F7:I7"/>
    <mergeCell ref="A8:D8"/>
    <mergeCell ref="F8:I8"/>
    <mergeCell ref="K8:N8"/>
    <mergeCell ref="A17:C17"/>
    <mergeCell ref="A18:C18"/>
    <mergeCell ref="A19:C19"/>
    <mergeCell ref="A20:C20"/>
    <mergeCell ref="F20:H20"/>
    <mergeCell ref="A21:C21"/>
    <mergeCell ref="F21:H21"/>
    <mergeCell ref="K21:M21"/>
    <mergeCell ref="F22:H22"/>
    <mergeCell ref="K22:M22"/>
    <mergeCell ref="A23:D23"/>
    <mergeCell ref="F23:H23"/>
    <mergeCell ref="K23:M23"/>
    <mergeCell ref="A24:C24"/>
    <mergeCell ref="F24:H24"/>
    <mergeCell ref="K24:M24"/>
    <mergeCell ref="A25:C25"/>
    <mergeCell ref="K25:M25"/>
    <mergeCell ref="A26:C26"/>
    <mergeCell ref="F26:I26"/>
    <mergeCell ref="A27:C27"/>
    <mergeCell ref="F27:H27"/>
    <mergeCell ref="K27:N27"/>
    <mergeCell ref="A28:C28"/>
    <mergeCell ref="F28:H28"/>
    <mergeCell ref="K28:M28"/>
    <mergeCell ref="A29:C29"/>
    <mergeCell ref="F29:H29"/>
    <mergeCell ref="K29:M29"/>
    <mergeCell ref="F30:H30"/>
    <mergeCell ref="K30:M30"/>
    <mergeCell ref="F31:H31"/>
    <mergeCell ref="K31:M31"/>
    <mergeCell ref="F32:H32"/>
    <mergeCell ref="K32:M32"/>
    <mergeCell ref="K33:M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6"/>
    <col collapsed="false" customWidth="true" hidden="false" outlineLevel="0" max="5" min="5" style="0" width="2"/>
  </cols>
  <sheetData>
    <row r="1" customFormat="false" ht="36" hidden="false" customHeight="true" outlineLevel="0" collapsed="false">
      <c r="A1" s="1" t="s">
        <v>53</v>
      </c>
      <c r="B1" s="1"/>
      <c r="C1" s="1"/>
      <c r="D1" s="1"/>
    </row>
    <row r="2" customFormat="false" ht="15" hidden="false" customHeight="true" outlineLevel="0" collapsed="false">
      <c r="A2" s="2" t="s">
        <v>54</v>
      </c>
      <c r="B2" s="2"/>
      <c r="C2" s="2"/>
      <c r="D2" s="2"/>
    </row>
    <row r="4" customFormat="false" ht="18" hidden="false" customHeight="true" outlineLevel="0" collapsed="false">
      <c r="A4" s="45"/>
      <c r="B4" s="46" t="s">
        <v>55</v>
      </c>
      <c r="C4" s="46" t="s">
        <v>56</v>
      </c>
      <c r="D4" s="46" t="s">
        <v>57</v>
      </c>
    </row>
    <row r="5" customFormat="false" ht="15.75" hidden="false" customHeight="true" outlineLevel="0" collapsed="false">
      <c r="A5" s="47" t="s">
        <v>58</v>
      </c>
      <c r="B5" s="48"/>
      <c r="C5" s="48"/>
      <c r="D5" s="48"/>
    </row>
    <row r="6" customFormat="false" ht="15.75" hidden="false" customHeight="true" outlineLevel="0" collapsed="false">
      <c r="A6" s="49" t="s">
        <v>59</v>
      </c>
      <c r="B6" s="50" t="n">
        <f aca="false">'Cost Model'!D24</f>
        <v>3500</v>
      </c>
      <c r="C6" s="50" t="n">
        <f aca="false">'Cost Model'!I27</f>
        <v>5250</v>
      </c>
      <c r="D6" s="50" t="n">
        <f aca="false">'Cost Model'!N28</f>
        <v>8000</v>
      </c>
    </row>
    <row r="7" customFormat="false" ht="15.75" hidden="false" customHeight="true" outlineLevel="0" collapsed="false">
      <c r="A7" s="49" t="s">
        <v>48</v>
      </c>
      <c r="B7" s="50" t="n">
        <f aca="false">'Cost Model'!D25</f>
        <v>1750</v>
      </c>
      <c r="C7" s="50" t="n">
        <f aca="false">'Cost Model'!I28</f>
        <v>2750</v>
      </c>
      <c r="D7" s="50" t="n">
        <f aca="false">'Cost Model'!N29</f>
        <v>4500</v>
      </c>
    </row>
    <row r="8" customFormat="false" ht="15.75" hidden="false" customHeight="true" outlineLevel="0" collapsed="false">
      <c r="A8" s="51" t="s">
        <v>49</v>
      </c>
      <c r="B8" s="52" t="n">
        <f aca="false">'Cost Model'!D26</f>
        <v>1750</v>
      </c>
      <c r="C8" s="52" t="n">
        <f aca="false">'Cost Model'!I29</f>
        <v>2500</v>
      </c>
      <c r="D8" s="52" t="n">
        <f aca="false">'Cost Model'!N30</f>
        <v>3500</v>
      </c>
    </row>
    <row r="9" customFormat="false" ht="15.75" hidden="false" customHeight="true" outlineLevel="0" collapsed="false">
      <c r="A9" s="49" t="s">
        <v>60</v>
      </c>
      <c r="B9" s="53" t="n">
        <v>70</v>
      </c>
      <c r="C9" s="53" t="n">
        <v>110</v>
      </c>
      <c r="D9" s="53" t="n">
        <v>180</v>
      </c>
    </row>
    <row r="10" customFormat="false" ht="15.75" hidden="false" customHeight="true" outlineLevel="0" collapsed="false">
      <c r="A10" s="47" t="s">
        <v>61</v>
      </c>
      <c r="B10" s="48"/>
      <c r="C10" s="48"/>
      <c r="D10" s="48"/>
    </row>
    <row r="11" customFormat="false" ht="15.75" hidden="false" customHeight="true" outlineLevel="0" collapsed="false">
      <c r="A11" s="15" t="s">
        <v>62</v>
      </c>
      <c r="B11" s="54" t="n">
        <f aca="false">'Cost Model'!D17</f>
        <v>300</v>
      </c>
      <c r="C11" s="54" t="n">
        <f aca="false">'Cost Model'!I20</f>
        <v>600</v>
      </c>
      <c r="D11" s="54" t="n">
        <f aca="false">'Cost Model'!N21</f>
        <v>1200</v>
      </c>
    </row>
    <row r="12" customFormat="false" ht="15.75" hidden="false" customHeight="true" outlineLevel="0" collapsed="false">
      <c r="A12" s="19" t="s">
        <v>63</v>
      </c>
      <c r="B12" s="55" t="n">
        <f aca="false">'Cost Model'!D18</f>
        <v>480</v>
      </c>
      <c r="C12" s="55" t="n">
        <f aca="false">'Cost Model'!I21</f>
        <v>720</v>
      </c>
      <c r="D12" s="55" t="n">
        <f aca="false">'Cost Model'!N22</f>
        <v>720</v>
      </c>
    </row>
    <row r="13" customFormat="false" ht="15.75" hidden="false" customHeight="true" outlineLevel="0" collapsed="false">
      <c r="A13" s="23" t="s">
        <v>10</v>
      </c>
      <c r="B13" s="56" t="n">
        <f aca="false">'Cost Model'!D19</f>
        <v>40</v>
      </c>
      <c r="C13" s="56" t="n">
        <f aca="false">'Cost Model'!I22</f>
        <v>80</v>
      </c>
      <c r="D13" s="56" t="n">
        <f aca="false">'Cost Model'!N23</f>
        <v>120</v>
      </c>
    </row>
    <row r="14" customFormat="false" ht="15.75" hidden="false" customHeight="true" outlineLevel="0" collapsed="false">
      <c r="A14" s="57" t="s">
        <v>64</v>
      </c>
      <c r="B14" s="58" t="n">
        <f aca="false">'Cost Model'!D20</f>
        <v>0</v>
      </c>
      <c r="C14" s="58" t="n">
        <f aca="false">'Cost Model'!I23</f>
        <v>360</v>
      </c>
      <c r="D14" s="58" t="n">
        <f aca="false">'Cost Model'!N24</f>
        <v>660</v>
      </c>
    </row>
    <row r="15" customFormat="false" ht="15.75" hidden="false" customHeight="true" outlineLevel="0" collapsed="false">
      <c r="A15" s="59" t="s">
        <v>65</v>
      </c>
      <c r="B15" s="60" t="n">
        <f aca="false">'Cost Model'!D27</f>
        <v>820</v>
      </c>
      <c r="C15" s="60" t="n">
        <f aca="false">'Cost Model'!I30</f>
        <v>1400</v>
      </c>
      <c r="D15" s="60" t="n">
        <f aca="false">'Cost Model'!N31</f>
        <v>2040</v>
      </c>
    </row>
    <row r="16" customFormat="false" ht="15.75" hidden="false" customHeight="true" outlineLevel="0" collapsed="false">
      <c r="A16" s="47" t="s">
        <v>66</v>
      </c>
      <c r="B16" s="48"/>
      <c r="C16" s="48"/>
      <c r="D16" s="48"/>
    </row>
    <row r="17" customFormat="false" ht="15.75" hidden="false" customHeight="true" outlineLevel="0" collapsed="false">
      <c r="A17" s="61" t="s">
        <v>51</v>
      </c>
      <c r="B17" s="62" t="n">
        <f aca="false">'Cost Model'!D28</f>
        <v>930</v>
      </c>
      <c r="C17" s="62" t="n">
        <f aca="false">'Cost Model'!I31</f>
        <v>1100</v>
      </c>
      <c r="D17" s="62" t="n">
        <f aca="false">'Cost Model'!N32</f>
        <v>1460</v>
      </c>
    </row>
    <row r="18" customFormat="false" ht="15.75" hidden="false" customHeight="true" outlineLevel="0" collapsed="false">
      <c r="A18" s="61" t="s">
        <v>52</v>
      </c>
      <c r="B18" s="63" t="n">
        <f aca="false">'Cost Model'!D29</f>
        <v>0.531428571428572</v>
      </c>
      <c r="C18" s="63" t="n">
        <f aca="false">'Cost Model'!I32</f>
        <v>0.44</v>
      </c>
      <c r="D18" s="63" t="n">
        <f aca="false">'Cost Model'!N33</f>
        <v>0.417142857142857</v>
      </c>
    </row>
    <row r="19" customFormat="false" ht="15.75" hidden="false" customHeight="true" outlineLevel="0" collapsed="false">
      <c r="A19" s="47" t="s">
        <v>67</v>
      </c>
      <c r="B19" s="48"/>
      <c r="C19" s="48"/>
      <c r="D19" s="48"/>
    </row>
    <row r="20" customFormat="false" ht="15.75" hidden="false" customHeight="true" outlineLevel="0" collapsed="false">
      <c r="A20" s="49" t="s">
        <v>68</v>
      </c>
      <c r="B20" s="64" t="n">
        <f aca="false">SUM('Cost Model'!C10:C16)</f>
        <v>7.5</v>
      </c>
      <c r="C20" s="64" t="n">
        <f aca="false">SUM('Cost Model'!H10:H19)</f>
        <v>15.5</v>
      </c>
      <c r="D20" s="64" t="n">
        <f aca="false">SUM('Cost Model'!M10:M20)</f>
        <v>23.5</v>
      </c>
    </row>
    <row r="22" customFormat="false" ht="36" hidden="false" customHeight="true" outlineLevel="0" collapsed="false">
      <c r="A22" s="65" t="s">
        <v>69</v>
      </c>
      <c r="B22" s="65"/>
      <c r="C22" s="65"/>
      <c r="D22" s="65"/>
    </row>
  </sheetData>
  <mergeCells count="3">
    <mergeCell ref="A1:D1"/>
    <mergeCell ref="A2:D2"/>
    <mergeCell ref="A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2026-04-16T19:37:31Z</dcterms:created>
  <dc:creator>openpyxl</dc:creator>
  <dc:description/>
  <dc:language>en-US</dc:language>
  <cp:lastModifiedBy/>
  <dcterms:modified xsi:type="dcterms:W3CDTF">2026-04-16T19:37:31Z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