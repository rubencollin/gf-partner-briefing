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odel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<sst xmlns="http://schemas.openxmlformats.org/spreadsheetml/2006/main" count="132" uniqueCount="65">
  <si>
    <t xml:space="preserve">GritFuel · Fixed Item Cost Model</t>
  </si>
  <si>
    <t xml:space="preserve">Internal use only  ·  Estimates cost of delivering fixed subscription items (excl. credit-funded work)</t>
  </si>
  <si>
    <t xml:space="preserve">RATE ASSUMPTIONS</t>
  </si>
  <si>
    <t xml:space="preserve">COLOUR KEY</t>
  </si>
  <si>
    <t xml:space="preserve">Resource Type</t>
  </si>
  <si>
    <t xml:space="preserve">Hourly Rate (EUR)</t>
  </si>
  <si>
    <t xml:space="preserve">Blue text = hardcoded input</t>
  </si>
  <si>
    <t xml:space="preserve">Strategist (lead / CMO-level)</t>
  </si>
  <si>
    <t xml:space="preserve">Black text = formula / calculation</t>
  </si>
  <si>
    <t xml:space="preserve">Other (ops / junior / data)</t>
  </si>
  <si>
    <t xml:space="preserve">Yellow bg = key assumption</t>
  </si>
  <si>
    <t xml:space="preserve">CORE  ·  €3,500/month  ·  70 credits</t>
  </si>
  <si>
    <t xml:space="preserve">GROWTH  ·  €5,000/month  ·  110 credits</t>
  </si>
  <si>
    <t xml:space="preserve">PERFORMANCE  ·  €7,500/month  ·  180 credits</t>
  </si>
  <si>
    <t xml:space="preserve">Fixed Item</t>
  </si>
  <si>
    <t xml:space="preserve">Resource</t>
  </si>
  <si>
    <t xml:space="preserve">Hrs/mo</t>
  </si>
  <si>
    <t xml:space="preserve">Cost (EUR)</t>
  </si>
  <si>
    <t xml:space="preserve">Monthly strategy session (1 × 60 min)</t>
  </si>
  <si>
    <t xml:space="preserve">Strategist</t>
  </si>
  <si>
    <t xml:space="preserve">Bi-weekly alignment (2 × 60 min)</t>
  </si>
  <si>
    <t xml:space="preserve">Weekly growth review (4 × 60 min)</t>
  </si>
  <si>
    <t xml:space="preserve">On-demand support (1.5 hrs/month)</t>
  </si>
  <si>
    <t xml:space="preserve">On-demand support (3 hrs/month)</t>
  </si>
  <si>
    <t xml:space="preserve">On-demand support (6 hrs/month)</t>
  </si>
  <si>
    <t xml:space="preserve">Monthly Growth Playbook (prep + write-up)</t>
  </si>
  <si>
    <t xml:space="preserve">Live growth dashboard (monthly update)</t>
  </si>
  <si>
    <t xml:space="preserve">Other</t>
  </si>
  <si>
    <t xml:space="preserve">Compounding engine (run + review)</t>
  </si>
  <si>
    <t xml:space="preserve">Ongoing brand &amp; messaging guidance</t>
  </si>
  <si>
    <t xml:space="preserve">Specialist coordination (back-end routing)</t>
  </si>
  <si>
    <t xml:space="preserve">Fractional CMO oversight</t>
  </si>
  <si>
    <t xml:space="preserve">  Session time cost</t>
  </si>
  <si>
    <t xml:space="preserve">Structured growth experiments (design)</t>
  </si>
  <si>
    <t xml:space="preserve">Senior strategic intensity (elevated input)</t>
  </si>
  <si>
    <t xml:space="preserve">  Other fixed item cost</t>
  </si>
  <si>
    <t xml:space="preserve">Multi-channel orchestration (3+ channels)</t>
  </si>
  <si>
    <t xml:space="preserve">Advanced testing architecture (design)</t>
  </si>
  <si>
    <t xml:space="preserve">TOTAL FIXED DELIVERY COST</t>
  </si>
  <si>
    <t xml:space="preserve">Direct specialist briefing (brand + perf)</t>
  </si>
  <si>
    <t xml:space="preserve">Forecasting &amp; growth modelling</t>
  </si>
  <si>
    <t xml:space="preserve">Direct specialist briefing (brand+perf+events)</t>
  </si>
  <si>
    <t xml:space="preserve">COMMERCIAL SUMMARY</t>
  </si>
  <si>
    <t xml:space="preserve">Subscription revenue</t>
  </si>
  <si>
    <t xml:space="preserve">  — Credit pool value</t>
  </si>
  <si>
    <t xml:space="preserve">  — Fixed item revenue</t>
  </si>
  <si>
    <t xml:space="preserve">Fixed delivery cost</t>
  </si>
  <si>
    <t xml:space="preserve">Gross margin (€)</t>
  </si>
  <si>
    <t xml:space="preserve">Gross margin (%)</t>
  </si>
  <si>
    <t xml:space="preserve">GritFuel · Commercial Summary by Tier</t>
  </si>
  <si>
    <t xml:space="preserve">Hour rates: Strategist €120 · Other €80  |  All figures EUR per month</t>
  </si>
  <si>
    <t xml:space="preserve">Core</t>
  </si>
  <si>
    <t xml:space="preserve">Growth</t>
  </si>
  <si>
    <t xml:space="preserve">Performance</t>
  </si>
  <si>
    <t xml:space="preserve">REVENUE</t>
  </si>
  <si>
    <t xml:space="preserve">Subscription revenue (total)</t>
  </si>
  <si>
    <t xml:space="preserve">Credits included</t>
  </si>
  <si>
    <t xml:space="preserve">COSTS</t>
  </si>
  <si>
    <t xml:space="preserve">Session time cost</t>
  </si>
  <si>
    <t xml:space="preserve">Other fixed item cost</t>
  </si>
  <si>
    <t xml:space="preserve">Total fixed delivery cost</t>
  </si>
  <si>
    <t xml:space="preserve">MARGIN ON FIXED ITEMS</t>
  </si>
  <si>
    <t xml:space="preserve">HOURS SUMMARY</t>
  </si>
  <si>
    <t xml:space="preserve">Total strategist + other hours</t>
  </si>
  <si>
    <t xml:space="preserve">Note: Fixed item revenue = subscription fee minus credit pool value (credits × €25). Hour estimates are internal benchmarks — adjust blue cells to model different scenarios. Credit execution costs are not included here.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</si>
</sst>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#,##0;&quot;(€&quot;#,##0\);\-"/>
    <numFmt numFmtId="166" formatCode="0.0"/>
    <numFmt numFmtId="167" formatCode="#,##0;\(#,##0\);\-"/>
    <numFmt numFmtId="168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8E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AAAAA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3"/>
        <bgColor rgb="FFF9F9F7"/>
      </patternFill>
    </fill>
    <fill>
      <patternFill patternType="solid">
        <fgColor rgb="FFFFFF00"/>
        <bgColor rgb="FFFFFF00"/>
      </patternFill>
    </fill>
    <fill>
      <patternFill patternType="solid">
        <fgColor rgb="FFE8E8E4"/>
        <bgColor rgb="FFE8F0FF"/>
      </patternFill>
    </fill>
    <fill>
      <patternFill patternType="solid">
        <fgColor rgb="FFEEF4FF"/>
        <bgColor rgb="FFE8F0FF"/>
      </patternFill>
    </fill>
    <fill>
      <patternFill patternType="solid">
        <fgColor rgb="FFF0F7CC"/>
        <bgColor rgb="FFFFF0E6"/>
      </patternFill>
    </fill>
    <fill>
      <patternFill patternType="solid">
        <fgColor rgb="FFFFF0E6"/>
        <bgColor rgb="FFF5F5F3"/>
      </patternFill>
    </fill>
    <fill>
      <patternFill patternType="solid">
        <fgColor rgb="FFE8F0FF"/>
        <bgColor rgb="FFEEF4FF"/>
      </patternFill>
    </fill>
    <fill>
      <patternFill patternType="solid">
        <fgColor rgb="FFF9F9F7"/>
        <bgColor rgb="FFF5F5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7CC"/>
      <rgbColor rgb="FFE8F0FF"/>
      <rgbColor rgb="FF660066"/>
      <rgbColor rgb="FFFF8080"/>
      <rgbColor rgb="FF0066CC"/>
      <rgbColor rgb="FFF5F5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E8E8E4"/>
      <rgbColor rgb="FFFFF0E6"/>
      <rgbColor rgb="FF99CCFF"/>
      <rgbColor rgb="FFFF99CC"/>
      <rgbColor rgb="FFCC99FF"/>
      <rgbColor rgb="FFF9F9F7"/>
      <rgbColor rgb="FF3366FF"/>
      <rgbColor rgb="FF33CCCC"/>
      <rgbColor rgb="FFC8E0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"/>
    <col collapsed="false" customWidth="true" hidden="false" outlineLevel="0" max="7" min="7" style="1" width="38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"/>
    <col collapsed="false" customWidth="true" hidden="false" outlineLevel="0" max="13" min="13" style="1" width="38"/>
    <col collapsed="false" customWidth="true" hidden="false" outlineLevel="0" max="14" min="14" style="1" width="18"/>
    <col collapsed="false" customWidth="true" hidden="false" outlineLevel="0" max="15" min="15" style="1" width="10"/>
    <col collapsed="false" customWidth="true" hidden="false" outlineLevel="0" max="16" min="16" style="1" width="12"/>
    <col collapsed="false" customWidth="true" hidden="false" outlineLevel="0" max="17" min="17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G4" s="4" t="s">
        <v>3</v>
      </c>
      <c r="H4" s="4"/>
      <c r="I4" s="4"/>
      <c r="J4" s="4"/>
      <c r="K4" s="4"/>
    </row>
    <row r="5" customFormat="false" ht="15" hidden="false" customHeight="true" outlineLevel="0" collapsed="false">
      <c r="A5" s="5" t="s">
        <v>4</v>
      </c>
      <c r="B5" s="6" t="s">
        <v>5</v>
      </c>
      <c r="G5" s="7" t="s">
        <v>6</v>
      </c>
      <c r="H5" s="7"/>
    </row>
    <row r="6" customFormat="false" ht="15" hidden="false" customHeight="true" outlineLevel="0" collapsed="false">
      <c r="A6" s="8" t="s">
        <v>7</v>
      </c>
      <c r="B6" s="9" t="n">
        <v>120</v>
      </c>
      <c r="G6" s="10" t="s">
        <v>8</v>
      </c>
      <c r="H6" s="10"/>
    </row>
    <row r="7" customFormat="false" ht="15" hidden="false" customHeight="true" outlineLevel="0" collapsed="false">
      <c r="A7" s="8" t="s">
        <v>9</v>
      </c>
      <c r="B7" s="9" t="n">
        <v>80</v>
      </c>
      <c r="G7" s="11" t="s">
        <v>10</v>
      </c>
      <c r="H7" s="11"/>
    </row>
    <row r="8" customFormat="false" ht="21.75" hidden="false" customHeight="true" outlineLevel="0" collapsed="false">
      <c r="A8" s="12" t="s">
        <v>11</v>
      </c>
      <c r="B8" s="12"/>
      <c r="C8" s="12"/>
      <c r="D8" s="12"/>
      <c r="E8" s="12"/>
      <c r="G8" s="12" t="s">
        <v>12</v>
      </c>
      <c r="H8" s="12"/>
      <c r="I8" s="12"/>
      <c r="J8" s="12"/>
      <c r="K8" s="12"/>
      <c r="M8" s="12" t="s">
        <v>13</v>
      </c>
      <c r="N8" s="12"/>
      <c r="O8" s="12"/>
      <c r="P8" s="12"/>
      <c r="Q8" s="12"/>
    </row>
    <row r="9" customFormat="false" ht="15.75" hidden="false" customHeight="true" outlineLevel="0" collapsed="false">
      <c r="A9" s="13" t="s">
        <v>14</v>
      </c>
      <c r="B9" s="13" t="s">
        <v>15</v>
      </c>
      <c r="C9" s="14" t="s">
        <v>16</v>
      </c>
      <c r="D9" s="14" t="s">
        <v>17</v>
      </c>
      <c r="G9" s="13" t="s">
        <v>14</v>
      </c>
      <c r="H9" s="13" t="s">
        <v>15</v>
      </c>
      <c r="I9" s="14" t="s">
        <v>16</v>
      </c>
      <c r="J9" s="14" t="s">
        <v>17</v>
      </c>
      <c r="M9" s="13" t="s">
        <v>14</v>
      </c>
      <c r="N9" s="13" t="s">
        <v>15</v>
      </c>
      <c r="O9" s="14" t="s">
        <v>16</v>
      </c>
      <c r="P9" s="14" t="s">
        <v>17</v>
      </c>
    </row>
    <row r="10" customFormat="false" ht="15" hidden="false" customHeight="true" outlineLevel="0" collapsed="false">
      <c r="A10" s="15" t="s">
        <v>18</v>
      </c>
      <c r="B10" s="16" t="s">
        <v>19</v>
      </c>
      <c r="C10" s="17" t="n">
        <v>1</v>
      </c>
      <c r="D10" s="18" t="n">
        <f aca="false">C10*$B$6</f>
        <v>120</v>
      </c>
      <c r="G10" s="15" t="s">
        <v>20</v>
      </c>
      <c r="H10" s="16" t="s">
        <v>19</v>
      </c>
      <c r="I10" s="17" t="n">
        <v>2</v>
      </c>
      <c r="J10" s="18" t="n">
        <f aca="false">I10*$B$6</f>
        <v>240</v>
      </c>
      <c r="M10" s="15" t="s">
        <v>21</v>
      </c>
      <c r="N10" s="16" t="s">
        <v>19</v>
      </c>
      <c r="O10" s="17" t="n">
        <v>4</v>
      </c>
      <c r="P10" s="18" t="n">
        <f aca="false">O10*$B$6</f>
        <v>480</v>
      </c>
    </row>
    <row r="11" customFormat="false" ht="15" hidden="false" customHeight="true" outlineLevel="0" collapsed="false">
      <c r="A11" s="15" t="s">
        <v>22</v>
      </c>
      <c r="B11" s="16" t="s">
        <v>19</v>
      </c>
      <c r="C11" s="17" t="n">
        <v>1.5</v>
      </c>
      <c r="D11" s="18" t="n">
        <f aca="false">C11*$B$6</f>
        <v>180</v>
      </c>
      <c r="G11" s="15" t="s">
        <v>23</v>
      </c>
      <c r="H11" s="16" t="s">
        <v>19</v>
      </c>
      <c r="I11" s="17" t="n">
        <v>3</v>
      </c>
      <c r="J11" s="18" t="n">
        <f aca="false">I11*$B$6</f>
        <v>360</v>
      </c>
      <c r="M11" s="15" t="s">
        <v>24</v>
      </c>
      <c r="N11" s="16" t="s">
        <v>19</v>
      </c>
      <c r="O11" s="17" t="n">
        <v>6</v>
      </c>
      <c r="P11" s="18" t="n">
        <f aca="false">O11*$B$6</f>
        <v>720</v>
      </c>
    </row>
    <row r="12" customFormat="false" ht="15" hidden="false" customHeight="true" outlineLevel="0" collapsed="false">
      <c r="A12" s="19" t="s">
        <v>25</v>
      </c>
      <c r="B12" s="20" t="s">
        <v>19</v>
      </c>
      <c r="C12" s="21" t="n">
        <v>2.5</v>
      </c>
      <c r="D12" s="22" t="n">
        <f aca="false">C12*$B$6</f>
        <v>300</v>
      </c>
      <c r="G12" s="19" t="s">
        <v>25</v>
      </c>
      <c r="H12" s="20" t="s">
        <v>19</v>
      </c>
      <c r="I12" s="21" t="n">
        <v>2.5</v>
      </c>
      <c r="J12" s="22" t="n">
        <f aca="false">I12*$B$6</f>
        <v>300</v>
      </c>
      <c r="M12" s="19" t="s">
        <v>25</v>
      </c>
      <c r="N12" s="20" t="s">
        <v>19</v>
      </c>
      <c r="O12" s="21" t="n">
        <v>2.5</v>
      </c>
      <c r="P12" s="22" t="n">
        <f aca="false">O12*$B$6</f>
        <v>300</v>
      </c>
    </row>
    <row r="13" customFormat="false" ht="15" hidden="false" customHeight="true" outlineLevel="0" collapsed="false">
      <c r="A13" s="19" t="s">
        <v>26</v>
      </c>
      <c r="B13" s="20" t="s">
        <v>27</v>
      </c>
      <c r="C13" s="21" t="n">
        <v>1</v>
      </c>
      <c r="D13" s="22" t="n">
        <f aca="false">C13*$B$7</f>
        <v>80</v>
      </c>
      <c r="G13" s="19" t="s">
        <v>26</v>
      </c>
      <c r="H13" s="20" t="s">
        <v>27</v>
      </c>
      <c r="I13" s="21" t="n">
        <v>1</v>
      </c>
      <c r="J13" s="22" t="n">
        <f aca="false">I13*$B$7</f>
        <v>80</v>
      </c>
      <c r="M13" s="19" t="s">
        <v>26</v>
      </c>
      <c r="N13" s="20" t="s">
        <v>27</v>
      </c>
      <c r="O13" s="21" t="n">
        <v>1</v>
      </c>
      <c r="P13" s="22" t="n">
        <f aca="false">O13*$B$7</f>
        <v>80</v>
      </c>
    </row>
    <row r="14" customFormat="false" ht="15" hidden="false" customHeight="true" outlineLevel="0" collapsed="false">
      <c r="A14" s="19" t="s">
        <v>28</v>
      </c>
      <c r="B14" s="20" t="s">
        <v>27</v>
      </c>
      <c r="C14" s="21" t="n">
        <v>0.5</v>
      </c>
      <c r="D14" s="22" t="n">
        <f aca="false">C14*$B$7</f>
        <v>40</v>
      </c>
      <c r="G14" s="19" t="s">
        <v>28</v>
      </c>
      <c r="H14" s="20" t="s">
        <v>27</v>
      </c>
      <c r="I14" s="21" t="n">
        <v>0.5</v>
      </c>
      <c r="J14" s="22" t="n">
        <f aca="false">I14*$B$7</f>
        <v>40</v>
      </c>
      <c r="M14" s="19" t="s">
        <v>28</v>
      </c>
      <c r="N14" s="20" t="s">
        <v>27</v>
      </c>
      <c r="O14" s="21" t="n">
        <v>0.5</v>
      </c>
      <c r="P14" s="22" t="n">
        <f aca="false">O14*$B$7</f>
        <v>40</v>
      </c>
    </row>
    <row r="15" customFormat="false" ht="15" hidden="false" customHeight="true" outlineLevel="0" collapsed="false">
      <c r="A15" s="19" t="s">
        <v>29</v>
      </c>
      <c r="B15" s="20" t="s">
        <v>19</v>
      </c>
      <c r="C15" s="21" t="n">
        <v>0.5</v>
      </c>
      <c r="D15" s="22" t="n">
        <f aca="false">C15*$B$6</f>
        <v>60</v>
      </c>
      <c r="G15" s="19" t="s">
        <v>29</v>
      </c>
      <c r="H15" s="20" t="s">
        <v>19</v>
      </c>
      <c r="I15" s="21" t="n">
        <v>0.5</v>
      </c>
      <c r="J15" s="22" t="n">
        <f aca="false">I15*$B$6</f>
        <v>60</v>
      </c>
      <c r="M15" s="19" t="s">
        <v>29</v>
      </c>
      <c r="N15" s="20" t="s">
        <v>19</v>
      </c>
      <c r="O15" s="21" t="n">
        <v>0.5</v>
      </c>
      <c r="P15" s="22" t="n">
        <f aca="false">O15*$B$6</f>
        <v>60</v>
      </c>
    </row>
    <row r="16" customFormat="false" ht="15" hidden="false" customHeight="true" outlineLevel="0" collapsed="false">
      <c r="A16" s="23" t="s">
        <v>30</v>
      </c>
      <c r="B16" s="24" t="s">
        <v>27</v>
      </c>
      <c r="C16" s="25" t="n">
        <v>0.5</v>
      </c>
      <c r="D16" s="26" t="n">
        <f aca="false">C16*$B$7</f>
        <v>40</v>
      </c>
      <c r="G16" s="19" t="s">
        <v>31</v>
      </c>
      <c r="H16" s="20" t="s">
        <v>19</v>
      </c>
      <c r="I16" s="21" t="n">
        <v>2</v>
      </c>
      <c r="J16" s="22" t="n">
        <f aca="false">I16*$B$6</f>
        <v>240</v>
      </c>
      <c r="M16" s="19" t="s">
        <v>31</v>
      </c>
      <c r="N16" s="20" t="s">
        <v>19</v>
      </c>
      <c r="O16" s="21" t="n">
        <v>2</v>
      </c>
      <c r="P16" s="22" t="n">
        <f aca="false">O16*$B$6</f>
        <v>240</v>
      </c>
    </row>
    <row r="17" customFormat="false" ht="15" hidden="false" customHeight="true" outlineLevel="0" collapsed="false">
      <c r="A17" s="27" t="s">
        <v>32</v>
      </c>
      <c r="B17" s="27"/>
      <c r="C17" s="27"/>
      <c r="D17" s="28" t="n">
        <f aca="false">SUM(D10,D11)</f>
        <v>300</v>
      </c>
      <c r="G17" s="19" t="s">
        <v>33</v>
      </c>
      <c r="H17" s="20" t="s">
        <v>19</v>
      </c>
      <c r="I17" s="21" t="n">
        <v>1.5</v>
      </c>
      <c r="J17" s="22" t="n">
        <f aca="false">I17*$B$6</f>
        <v>180</v>
      </c>
      <c r="M17" s="19" t="s">
        <v>34</v>
      </c>
      <c r="N17" s="20" t="s">
        <v>19</v>
      </c>
      <c r="O17" s="21" t="n">
        <v>2</v>
      </c>
      <c r="P17" s="22" t="n">
        <f aca="false">O17*$B$6</f>
        <v>240</v>
      </c>
    </row>
    <row r="18" customFormat="false" ht="15" hidden="false" customHeight="true" outlineLevel="0" collapsed="false">
      <c r="A18" s="29" t="s">
        <v>35</v>
      </c>
      <c r="B18" s="29"/>
      <c r="C18" s="29"/>
      <c r="D18" s="30" t="n">
        <f aca="false">SUM(D12,D13,D14,D15,D16)</f>
        <v>520</v>
      </c>
      <c r="G18" s="19" t="s">
        <v>36</v>
      </c>
      <c r="H18" s="20" t="s">
        <v>19</v>
      </c>
      <c r="I18" s="21" t="n">
        <v>1.5</v>
      </c>
      <c r="J18" s="22" t="n">
        <f aca="false">I18*$B$6</f>
        <v>180</v>
      </c>
      <c r="M18" s="19" t="s">
        <v>37</v>
      </c>
      <c r="N18" s="20" t="s">
        <v>19</v>
      </c>
      <c r="O18" s="21" t="n">
        <v>1.5</v>
      </c>
      <c r="P18" s="22" t="n">
        <f aca="false">O18*$B$6</f>
        <v>180</v>
      </c>
    </row>
    <row r="19" customFormat="false" ht="15" hidden="false" customHeight="true" outlineLevel="0" collapsed="false">
      <c r="A19" s="31" t="s">
        <v>38</v>
      </c>
      <c r="B19" s="31"/>
      <c r="C19" s="31"/>
      <c r="D19" s="32" t="n">
        <f aca="false">D17+D18</f>
        <v>820</v>
      </c>
      <c r="G19" s="23" t="s">
        <v>39</v>
      </c>
      <c r="H19" s="24" t="s">
        <v>27</v>
      </c>
      <c r="I19" s="25" t="n">
        <v>1</v>
      </c>
      <c r="J19" s="26" t="n">
        <f aca="false">I19*$B$7</f>
        <v>80</v>
      </c>
      <c r="M19" s="19" t="s">
        <v>40</v>
      </c>
      <c r="N19" s="20" t="s">
        <v>19</v>
      </c>
      <c r="O19" s="21" t="n">
        <v>2</v>
      </c>
      <c r="P19" s="22" t="n">
        <f aca="false">O19*$B$6</f>
        <v>240</v>
      </c>
    </row>
    <row r="20" customFormat="false" ht="15" hidden="false" customHeight="true" outlineLevel="0" collapsed="false">
      <c r="G20" s="27" t="s">
        <v>32</v>
      </c>
      <c r="H20" s="27"/>
      <c r="I20" s="27"/>
      <c r="J20" s="28" t="n">
        <f aca="false">SUM(J10,J11)</f>
        <v>600</v>
      </c>
      <c r="M20" s="23" t="s">
        <v>41</v>
      </c>
      <c r="N20" s="24" t="s">
        <v>27</v>
      </c>
      <c r="O20" s="25" t="n">
        <v>1.5</v>
      </c>
      <c r="P20" s="26" t="n">
        <f aca="false">O20*$B$7</f>
        <v>120</v>
      </c>
    </row>
    <row r="21" customFormat="false" ht="15.75" hidden="false" customHeight="true" outlineLevel="0" collapsed="false">
      <c r="A21" s="4" t="s">
        <v>42</v>
      </c>
      <c r="B21" s="4"/>
      <c r="C21" s="4"/>
      <c r="D21" s="4"/>
      <c r="E21" s="4"/>
      <c r="G21" s="29" t="s">
        <v>35</v>
      </c>
      <c r="H21" s="29"/>
      <c r="I21" s="29"/>
      <c r="J21" s="30" t="n">
        <f aca="false">SUM(J12,J13,J14,J15,J16,J17,J18,J19)</f>
        <v>1160</v>
      </c>
      <c r="M21" s="27" t="s">
        <v>32</v>
      </c>
      <c r="N21" s="27"/>
      <c r="O21" s="27"/>
      <c r="P21" s="28" t="n">
        <f aca="false">SUM(P10,P11)</f>
        <v>1200</v>
      </c>
    </row>
    <row r="22" customFormat="false" ht="15.75" hidden="false" customHeight="true" outlineLevel="0" collapsed="false">
      <c r="A22" s="10" t="s">
        <v>43</v>
      </c>
      <c r="B22" s="10"/>
      <c r="C22" s="10"/>
      <c r="D22" s="33" t="n">
        <v>3500</v>
      </c>
      <c r="G22" s="31" t="s">
        <v>38</v>
      </c>
      <c r="H22" s="31"/>
      <c r="I22" s="31"/>
      <c r="J22" s="32" t="n">
        <f aca="false">J20+J21</f>
        <v>1760</v>
      </c>
      <c r="M22" s="29" t="s">
        <v>35</v>
      </c>
      <c r="N22" s="29"/>
      <c r="O22" s="29"/>
      <c r="P22" s="30" t="n">
        <f aca="false">SUM(P12,P13,P14,P15,P16,P17,P18,P19,P20)</f>
        <v>1500</v>
      </c>
    </row>
    <row r="23" customFormat="false" ht="18.75" hidden="false" customHeight="true" outlineLevel="0" collapsed="false">
      <c r="A23" s="10" t="s">
        <v>44</v>
      </c>
      <c r="B23" s="10"/>
      <c r="C23" s="10"/>
      <c r="D23" s="34" t="n">
        <v>1750</v>
      </c>
      <c r="M23" s="31" t="s">
        <v>38</v>
      </c>
      <c r="N23" s="31"/>
      <c r="O23" s="31"/>
      <c r="P23" s="32" t="n">
        <f aca="false">P21+P22</f>
        <v>2700</v>
      </c>
    </row>
    <row r="24" customFormat="false" ht="15" hidden="false" customHeight="true" outlineLevel="0" collapsed="false">
      <c r="A24" s="11" t="s">
        <v>45</v>
      </c>
      <c r="B24" s="11"/>
      <c r="C24" s="11"/>
      <c r="D24" s="35" t="n">
        <v>1750</v>
      </c>
      <c r="G24" s="4" t="s">
        <v>42</v>
      </c>
      <c r="H24" s="4"/>
      <c r="I24" s="4"/>
      <c r="J24" s="4"/>
      <c r="K24" s="4"/>
    </row>
    <row r="25" customFormat="false" ht="15" hidden="false" customHeight="true" outlineLevel="0" collapsed="false">
      <c r="A25" s="10" t="s">
        <v>46</v>
      </c>
      <c r="B25" s="10"/>
      <c r="C25" s="10"/>
      <c r="D25" s="36" t="n">
        <f aca="false">D19</f>
        <v>820</v>
      </c>
      <c r="G25" s="10" t="s">
        <v>43</v>
      </c>
      <c r="H25" s="10"/>
      <c r="I25" s="10"/>
      <c r="J25" s="33" t="n">
        <v>5000</v>
      </c>
      <c r="M25" s="4" t="s">
        <v>42</v>
      </c>
      <c r="N25" s="4"/>
      <c r="O25" s="4"/>
      <c r="P25" s="4"/>
      <c r="Q25" s="4"/>
    </row>
    <row r="26" customFormat="false" ht="15" hidden="false" customHeight="true" outlineLevel="0" collapsed="false">
      <c r="A26" s="10" t="s">
        <v>47</v>
      </c>
      <c r="B26" s="10"/>
      <c r="C26" s="10"/>
      <c r="D26" s="37" t="n">
        <f aca="false">D24-D25</f>
        <v>930</v>
      </c>
      <c r="G26" s="10" t="s">
        <v>44</v>
      </c>
      <c r="H26" s="10"/>
      <c r="I26" s="10"/>
      <c r="J26" s="34" t="n">
        <v>2750</v>
      </c>
      <c r="M26" s="10" t="s">
        <v>43</v>
      </c>
      <c r="N26" s="10"/>
      <c r="O26" s="10"/>
      <c r="P26" s="33" t="n">
        <v>7500</v>
      </c>
    </row>
    <row r="27" customFormat="false" ht="15" hidden="false" customHeight="true" outlineLevel="0" collapsed="false">
      <c r="A27" s="10" t="s">
        <v>48</v>
      </c>
      <c r="B27" s="10"/>
      <c r="C27" s="10"/>
      <c r="D27" s="38" t="n">
        <f aca="false">IF(D24=0,0,D26/D24)</f>
        <v>0.531428571428572</v>
      </c>
      <c r="G27" s="11" t="s">
        <v>45</v>
      </c>
      <c r="H27" s="11"/>
      <c r="I27" s="11"/>
      <c r="J27" s="35" t="n">
        <v>2250</v>
      </c>
      <c r="M27" s="10" t="s">
        <v>44</v>
      </c>
      <c r="N27" s="10"/>
      <c r="O27" s="10"/>
      <c r="P27" s="34" t="n">
        <v>4500</v>
      </c>
    </row>
    <row r="28" customFormat="false" ht="15" hidden="false" customHeight="true" outlineLevel="0" collapsed="false">
      <c r="G28" s="10" t="s">
        <v>46</v>
      </c>
      <c r="H28" s="10"/>
      <c r="I28" s="10"/>
      <c r="J28" s="36" t="n">
        <f aca="false">J22</f>
        <v>1760</v>
      </c>
      <c r="M28" s="11" t="s">
        <v>45</v>
      </c>
      <c r="N28" s="11"/>
      <c r="O28" s="11"/>
      <c r="P28" s="35" t="n">
        <v>3000</v>
      </c>
    </row>
    <row r="29" customFormat="false" ht="15" hidden="false" customHeight="true" outlineLevel="0" collapsed="false">
      <c r="G29" s="10" t="s">
        <v>47</v>
      </c>
      <c r="H29" s="10"/>
      <c r="I29" s="10"/>
      <c r="J29" s="37" t="n">
        <f aca="false">J27-J28</f>
        <v>490</v>
      </c>
      <c r="M29" s="10" t="s">
        <v>46</v>
      </c>
      <c r="N29" s="10"/>
      <c r="O29" s="10"/>
      <c r="P29" s="36" t="n">
        <f aca="false">P23</f>
        <v>2700</v>
      </c>
    </row>
    <row r="30" customFormat="false" ht="15" hidden="false" customHeight="true" outlineLevel="0" collapsed="false">
      <c r="G30" s="10" t="s">
        <v>48</v>
      </c>
      <c r="H30" s="10"/>
      <c r="I30" s="10"/>
      <c r="J30" s="38" t="n">
        <f aca="false">IF(J27=0,0,J29/J27)</f>
        <v>0.217777777777778</v>
      </c>
      <c r="M30" s="10" t="s">
        <v>47</v>
      </c>
      <c r="N30" s="10"/>
      <c r="O30" s="10"/>
      <c r="P30" s="37" t="n">
        <f aca="false">P28-P29</f>
        <v>300</v>
      </c>
    </row>
    <row r="31" customFormat="false" ht="15" hidden="false" customHeight="true" outlineLevel="0" collapsed="false">
      <c r="M31" s="10" t="s">
        <v>48</v>
      </c>
      <c r="N31" s="10"/>
      <c r="O31" s="10"/>
      <c r="P31" s="38" t="n">
        <f aca="false">IF(P28=0,0,P30/P28)</f>
        <v>0.1</v>
      </c>
    </row>
  </sheetData>
  <mergeCells count="40">
    <mergeCell ref="A1:Q1"/>
    <mergeCell ref="A2:Q2"/>
    <mergeCell ref="A4:E4"/>
    <mergeCell ref="G4:K4"/>
    <mergeCell ref="G5:H5"/>
    <mergeCell ref="G6:H6"/>
    <mergeCell ref="G7:H7"/>
    <mergeCell ref="A8:E8"/>
    <mergeCell ref="G8:K8"/>
    <mergeCell ref="M8:Q8"/>
    <mergeCell ref="A17:C17"/>
    <mergeCell ref="A18:C18"/>
    <mergeCell ref="A19:C19"/>
    <mergeCell ref="G20:I20"/>
    <mergeCell ref="A21:E21"/>
    <mergeCell ref="G21:I21"/>
    <mergeCell ref="M21:O21"/>
    <mergeCell ref="A22:C22"/>
    <mergeCell ref="G22:I22"/>
    <mergeCell ref="M22:O22"/>
    <mergeCell ref="A23:C23"/>
    <mergeCell ref="M23:O23"/>
    <mergeCell ref="A24:C24"/>
    <mergeCell ref="G24:K24"/>
    <mergeCell ref="A25:C25"/>
    <mergeCell ref="G25:I25"/>
    <mergeCell ref="M25:Q25"/>
    <mergeCell ref="A26:C26"/>
    <mergeCell ref="G26:I26"/>
    <mergeCell ref="M26:O26"/>
    <mergeCell ref="A27:C27"/>
    <mergeCell ref="G27:I27"/>
    <mergeCell ref="M27:O27"/>
    <mergeCell ref="G28:I28"/>
    <mergeCell ref="M28:O28"/>
    <mergeCell ref="G29:I29"/>
    <mergeCell ref="M29:O29"/>
    <mergeCell ref="G30:I30"/>
    <mergeCell ref="M30:O30"/>
    <mergeCell ref="M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  <col collapsed="false" customWidth="true" hidden="false" outlineLevel="0" max="5" min="5" style="1" width="2"/>
  </cols>
  <sheetData>
    <row r="1" customFormat="false" ht="36" hidden="false" customHeight="true" outlineLevel="0" collapsed="false">
      <c r="A1" s="39" t="s">
        <v>49</v>
      </c>
      <c r="B1" s="39"/>
      <c r="C1" s="39"/>
      <c r="D1" s="39"/>
    </row>
    <row r="2" customFormat="false" ht="13.5" hidden="false" customHeight="true" outlineLevel="0" collapsed="false">
      <c r="A2" s="3" t="s">
        <v>50</v>
      </c>
      <c r="B2" s="3"/>
      <c r="C2" s="3"/>
      <c r="D2" s="3"/>
    </row>
    <row r="4" customFormat="false" ht="18" hidden="false" customHeight="true" outlineLevel="0" collapsed="false">
      <c r="A4" s="40"/>
      <c r="B4" s="41" t="s">
        <v>51</v>
      </c>
      <c r="C4" s="41" t="s">
        <v>52</v>
      </c>
      <c r="D4" s="41" t="s">
        <v>53</v>
      </c>
    </row>
    <row r="5" customFormat="false" ht="15.75" hidden="false" customHeight="true" outlineLevel="0" collapsed="false">
      <c r="A5" s="42" t="s">
        <v>54</v>
      </c>
      <c r="B5" s="43"/>
      <c r="C5" s="43"/>
      <c r="D5" s="43"/>
    </row>
    <row r="6" customFormat="false" ht="15.75" hidden="false" customHeight="true" outlineLevel="0" collapsed="false">
      <c r="A6" s="44" t="s">
        <v>55</v>
      </c>
      <c r="B6" s="45" t="n">
        <f aca="false">'Cost Model'!D22</f>
        <v>3500</v>
      </c>
      <c r="C6" s="45" t="n">
        <f aca="false">'Cost Model'!K25</f>
        <v>0</v>
      </c>
      <c r="D6" s="45" t="n">
        <f aca="false">'Cost Model'!Q26</f>
        <v>0</v>
      </c>
    </row>
    <row r="7" customFormat="false" ht="15.75" hidden="false" customHeight="true" outlineLevel="0" collapsed="false">
      <c r="A7" s="44" t="s">
        <v>44</v>
      </c>
      <c r="B7" s="45" t="n">
        <f aca="false">'Cost Model'!D23</f>
        <v>1750</v>
      </c>
      <c r="C7" s="45" t="n">
        <f aca="false">'Cost Model'!K26</f>
        <v>0</v>
      </c>
      <c r="D7" s="45" t="n">
        <f aca="false">'Cost Model'!Q27</f>
        <v>0</v>
      </c>
    </row>
    <row r="8" customFormat="false" ht="15.75" hidden="false" customHeight="true" outlineLevel="0" collapsed="false">
      <c r="A8" s="46" t="s">
        <v>45</v>
      </c>
      <c r="B8" s="47" t="n">
        <f aca="false">'Cost Model'!D24</f>
        <v>1750</v>
      </c>
      <c r="C8" s="47" t="n">
        <f aca="false">'Cost Model'!K27</f>
        <v>0</v>
      </c>
      <c r="D8" s="47" t="n">
        <f aca="false">'Cost Model'!Q28</f>
        <v>0</v>
      </c>
    </row>
    <row r="9" customFormat="false" ht="15.75" hidden="false" customHeight="true" outlineLevel="0" collapsed="false">
      <c r="A9" s="48" t="s">
        <v>56</v>
      </c>
      <c r="B9" s="49"/>
      <c r="C9" s="49"/>
      <c r="D9" s="49"/>
    </row>
    <row r="10" customFormat="false" ht="15.75" hidden="false" customHeight="true" outlineLevel="0" collapsed="false">
      <c r="A10" s="42" t="s">
        <v>57</v>
      </c>
      <c r="B10" s="43"/>
      <c r="C10" s="43"/>
      <c r="D10" s="43"/>
    </row>
    <row r="11" customFormat="false" ht="15.75" hidden="false" customHeight="true" outlineLevel="0" collapsed="false">
      <c r="A11" s="50" t="s">
        <v>58</v>
      </c>
      <c r="B11" s="51" t="n">
        <f aca="false">'Cost Model'!D17</f>
        <v>300</v>
      </c>
      <c r="C11" s="51" t="n">
        <f aca="false">'Cost Model'!K20</f>
        <v>0</v>
      </c>
      <c r="D11" s="51" t="n">
        <f aca="false">'Cost Model'!Q21</f>
        <v>0</v>
      </c>
    </row>
    <row r="12" customFormat="false" ht="15.75" hidden="false" customHeight="true" outlineLevel="0" collapsed="false">
      <c r="A12" s="19" t="s">
        <v>59</v>
      </c>
      <c r="B12" s="52" t="n">
        <f aca="false">'Cost Model'!D18</f>
        <v>520</v>
      </c>
      <c r="C12" s="52" t="n">
        <f aca="false">'Cost Model'!K21</f>
        <v>0</v>
      </c>
      <c r="D12" s="52" t="n">
        <f aca="false">'Cost Model'!Q22</f>
        <v>0</v>
      </c>
    </row>
    <row r="13" customFormat="false" ht="15.75" hidden="false" customHeight="true" outlineLevel="0" collapsed="false">
      <c r="A13" s="53" t="s">
        <v>60</v>
      </c>
      <c r="B13" s="54" t="n">
        <f aca="false">'Cost Model'!D19</f>
        <v>820</v>
      </c>
      <c r="C13" s="54" t="n">
        <f aca="false">'Cost Model'!K22</f>
        <v>0</v>
      </c>
      <c r="D13" s="54" t="n">
        <f aca="false">'Cost Model'!Q23</f>
        <v>0</v>
      </c>
    </row>
    <row r="14" customFormat="false" ht="15.75" hidden="false" customHeight="true" outlineLevel="0" collapsed="false">
      <c r="A14" s="42" t="s">
        <v>61</v>
      </c>
      <c r="B14" s="43"/>
      <c r="C14" s="43"/>
      <c r="D14" s="43"/>
    </row>
    <row r="15" customFormat="false" ht="15.75" hidden="false" customHeight="true" outlineLevel="0" collapsed="false">
      <c r="A15" s="44" t="s">
        <v>47</v>
      </c>
      <c r="B15" s="55" t="n">
        <f aca="false">'Cost Model'!D26</f>
        <v>930</v>
      </c>
      <c r="C15" s="55" t="n">
        <f aca="false">'Cost Model'!K29</f>
        <v>0</v>
      </c>
      <c r="D15" s="55" t="n">
        <f aca="false">'Cost Model'!Q30</f>
        <v>0</v>
      </c>
    </row>
    <row r="16" customFormat="false" ht="15.75" hidden="false" customHeight="true" outlineLevel="0" collapsed="false">
      <c r="A16" s="44" t="s">
        <v>48</v>
      </c>
      <c r="B16" s="56" t="n">
        <f aca="false">'Cost Model'!D27</f>
        <v>0.531428571428572</v>
      </c>
      <c r="C16" s="56" t="n">
        <f aca="false">'Cost Model'!K30</f>
        <v>0</v>
      </c>
      <c r="D16" s="56" t="n">
        <f aca="false">'Cost Model'!Q31</f>
        <v>0</v>
      </c>
    </row>
    <row r="17" customFormat="false" ht="15.75" hidden="false" customHeight="true" outlineLevel="0" collapsed="false">
      <c r="A17" s="42" t="s">
        <v>62</v>
      </c>
      <c r="B17" s="43"/>
      <c r="C17" s="43"/>
      <c r="D17" s="43"/>
    </row>
    <row r="18" customFormat="false" ht="15.75" hidden="false" customHeight="true" outlineLevel="0" collapsed="false">
      <c r="A18" s="44" t="s">
        <v>63</v>
      </c>
      <c r="B18" s="57" t="n">
        <f aca="false">SUM('Cost Model'!C10:C16)</f>
        <v>7.5</v>
      </c>
      <c r="C18" s="57" t="n">
        <f aca="false">SUM('Cost Model'!I10:I19)</f>
        <v>15.5</v>
      </c>
      <c r="D18" s="57" t="n">
        <f aca="false">SUM('Cost Model'!O10:O20)</f>
        <v>23.5</v>
      </c>
    </row>
    <row r="20" customFormat="false" ht="30" hidden="false" customHeight="true" outlineLevel="0" collapsed="false">
      <c r="A20" s="58" t="s">
        <v>64</v>
      </c>
      <c r="B20" s="58"/>
      <c r="C20" s="58"/>
      <c r="D20" s="58"/>
    </row>
  </sheetData>
  <mergeCells count="3">
    <mergeCell ref="A1:D1"/>
    <mergeCell ref="A2:D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2026-04-16T19:17:17Z</dcterms:created>
  <dc:creator>openpyxl</dc:creator>
  <dc:description/>
  <dc:language>en-US</dc:language>
  <cp:lastModifiedBy/>
  <dcterms:modified xsi:type="dcterms:W3CDTF">2026-04-16T19:17:31Z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